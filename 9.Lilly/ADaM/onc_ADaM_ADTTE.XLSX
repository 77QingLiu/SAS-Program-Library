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680" yWindow="432" windowWidth="19416" windowHeight="5232" tabRatio="921" firstSheet="2" activeTab="4"/>
  </bookViews>
  <sheets>
    <sheet name="Process options" sheetId="3" state="hidden" r:id="rId1"/>
    <sheet name="TLFs" sheetId="2" state="hidden" r:id="rId2"/>
    <sheet name="VERSION" sheetId="6" r:id="rId3"/>
    <sheet name="TABLES" sheetId="4" r:id="rId4"/>
    <sheet name="COLUMNS" sheetId="13" r:id="rId5"/>
    <sheet name="EXAMPLE" sheetId="14" r:id="rId6"/>
  </sheets>
  <externalReferences>
    <externalReference r:id="rId7"/>
  </externalReferences>
  <definedNames>
    <definedName name="_xlnm._FilterDatabase" localSheetId="4" hidden="1">COLUMNS!$A$1:$AO$24</definedName>
    <definedName name="_xlnm._FilterDatabase" localSheetId="5">SDTM [1]columns!$A$4:$P$1942</definedName>
    <definedName name="_xlnm._FilterDatabase" localSheetId="3" hidden="1">TABLES!$A$1:$G$31</definedName>
    <definedName name="_xlnm._FilterDatabase">SDTM [1]columns!$A$4:$P$1942</definedName>
    <definedName name="dd" localSheetId="4">SDTM [1]columns!$A$4:$P$1942</definedName>
    <definedName name="dd" localSheetId="5">SDTM [1]columns!$A$4:$P$1942</definedName>
    <definedName name="dd">SDTM [1]columns!$A$4:$P$1942</definedName>
    <definedName name="Sheet5" localSheetId="4">#REF!</definedName>
    <definedName name="Sheet5" localSheetId="5">#REF!</definedName>
    <definedName name="Sheet5">#REF!</definedName>
  </definedNames>
  <calcPr calcId="145621"/>
</workbook>
</file>

<file path=xl/calcChain.xml><?xml version="1.0" encoding="utf-8"?>
<calcChain xmlns="http://schemas.openxmlformats.org/spreadsheetml/2006/main">
  <c r="E30" i="2" l="1"/>
  <c r="E32" i="2"/>
  <c r="E31" i="2"/>
  <c r="E29" i="2"/>
  <c r="E28" i="2"/>
  <c r="E27" i="2"/>
  <c r="E26" i="2"/>
  <c r="E25" i="2"/>
  <c r="E24" i="2"/>
  <c r="E23" i="2"/>
  <c r="E22" i="2"/>
  <c r="E21" i="2"/>
  <c r="E19" i="2"/>
  <c r="E18" i="2"/>
  <c r="E17" i="2"/>
  <c r="E16" i="2"/>
  <c r="E15" i="2"/>
  <c r="E14" i="2"/>
  <c r="E13" i="2"/>
  <c r="E12" i="2"/>
  <c r="E10" i="2"/>
  <c r="E9" i="2"/>
  <c r="E7" i="2"/>
  <c r="E6" i="2"/>
  <c r="E5" i="2"/>
</calcChain>
</file>

<file path=xl/sharedStrings.xml><?xml version="1.0" encoding="utf-8"?>
<sst xmlns="http://schemas.openxmlformats.org/spreadsheetml/2006/main" count="736" uniqueCount="304">
  <si>
    <t>FUNCTION OF THESE VARIABLES</t>
  </si>
  <si>
    <t>FUNCTION</t>
  </si>
  <si>
    <t>TLF</t>
  </si>
  <si>
    <t>VARIABLE USED</t>
  </si>
  <si>
    <t>DATASET DERIVED FROM</t>
  </si>
  <si>
    <t>16.2.4.3</t>
  </si>
  <si>
    <t>SUBNO</t>
  </si>
  <si>
    <t>TRT</t>
  </si>
  <si>
    <t>DEMOGDT</t>
  </si>
  <si>
    <t>DAYPRIOR</t>
  </si>
  <si>
    <t>BIRTHDT</t>
  </si>
  <si>
    <t>AGE</t>
  </si>
  <si>
    <t>SEX</t>
  </si>
  <si>
    <t>ETHNIC</t>
  </si>
  <si>
    <t>RACE1</t>
  </si>
  <si>
    <t>RACE2</t>
  </si>
  <si>
    <t>RACE3</t>
  </si>
  <si>
    <t>RACE4</t>
  </si>
  <si>
    <t>RACE5</t>
  </si>
  <si>
    <t>WEIGHT</t>
  </si>
  <si>
    <t>14.1.4</t>
  </si>
  <si>
    <t>AGECAT</t>
  </si>
  <si>
    <t>RACE</t>
  </si>
  <si>
    <t>VARIABLE RENAMED</t>
  </si>
  <si>
    <t>ANAL.MPL</t>
  </si>
  <si>
    <t>missing - &lt;16=1; 16 - 64=2; &gt;64=3</t>
  </si>
  <si>
    <t>RAW.DEMOG</t>
  </si>
  <si>
    <t>datepart(DOSE1_DT)-DEMOGDT</t>
  </si>
  <si>
    <t>ANAL.MPL; RAW.DEMOG</t>
  </si>
  <si>
    <t>MPL.DOSE1_DT; DEMOG.DEMOGDT</t>
  </si>
  <si>
    <t>Demography</t>
  </si>
  <si>
    <t>Program</t>
  </si>
  <si>
    <t>16.2.4.2</t>
  </si>
  <si>
    <t>DOSED</t>
  </si>
  <si>
    <t>CONS_D</t>
  </si>
  <si>
    <t>_RAND_DT</t>
  </si>
  <si>
    <t>_DOSE1_DT</t>
  </si>
  <si>
    <t>_DOSEL_DT</t>
  </si>
  <si>
    <t>DISC_D</t>
  </si>
  <si>
    <t>STOPREAS</t>
  </si>
  <si>
    <t>DISCREAS</t>
  </si>
  <si>
    <t>ANAL.MPL; RAW.RANDOM</t>
  </si>
  <si>
    <t>conversion of date and time to datetime</t>
  </si>
  <si>
    <t>DOSE1_D; DOSE1_DT</t>
  </si>
  <si>
    <t>MPL.RAND_D; RANDOM.TXASGTM</t>
  </si>
  <si>
    <t>conversion to datetime</t>
  </si>
  <si>
    <t>DOSEL_D; DOSEL_DT</t>
  </si>
  <si>
    <t>1=not missing; 0=missing</t>
  </si>
  <si>
    <t>ANAL.MPL.CONS_D</t>
  </si>
  <si>
    <t>MPL.DOSE1_D</t>
  </si>
  <si>
    <t>ANAL.MPL.DISC_D</t>
  </si>
  <si>
    <t>MPL.SEX</t>
  </si>
  <si>
    <t>formatted</t>
  </si>
  <si>
    <t>ITT</t>
  </si>
  <si>
    <t>MPL.STOPPREM; MPL.STOPTXT</t>
  </si>
  <si>
    <t>STOPPREM=0 mapped to STOPTXT; formatted with STOPTXT</t>
  </si>
  <si>
    <t>MPL.DISCPREM; MPL.DISCTXT</t>
  </si>
  <si>
    <t>DISCPREM=0 mapped to DISCTXT; formatted with DISCTXT</t>
  </si>
  <si>
    <t>BasicInfo</t>
  </si>
  <si>
    <t>14;.1.1</t>
  </si>
  <si>
    <t>WIN</t>
  </si>
  <si>
    <t>MPL.DISC_D; MPL.RAND_D</t>
  </si>
  <si>
    <t>DISC_D-RAND_D, formatted to text based on ranges</t>
  </si>
  <si>
    <t>1=not missing; 0=missing, formatted</t>
  </si>
  <si>
    <t>operational</t>
  </si>
  <si>
    <t>==&gt;</t>
  </si>
  <si>
    <t>ADS</t>
  </si>
  <si>
    <t>SDTM</t>
  </si>
  <si>
    <t>----&gt;</t>
  </si>
  <si>
    <t>ADAM</t>
  </si>
  <si>
    <t>Required</t>
  </si>
  <si>
    <t>Done</t>
  </si>
  <si>
    <t>Option 1 - Derive ADAM from ADS</t>
  </si>
  <si>
    <t>Option 2 - Derive ADAM from operational</t>
  </si>
  <si>
    <t>Option 3 - Derive ADAM from operational and ADS</t>
  </si>
  <si>
    <t>Ideal</t>
  </si>
  <si>
    <t>Option 4 - Derive ADS from SDTM</t>
  </si>
  <si>
    <t>LABEL</t>
  </si>
  <si>
    <t>CLASS</t>
  </si>
  <si>
    <t>STRUCTURE</t>
  </si>
  <si>
    <t>ORDER</t>
  </si>
  <si>
    <t>BackgroundPAHMeds</t>
  </si>
  <si>
    <t>14.1.9.3</t>
  </si>
  <si>
    <t>ERAPDE</t>
  </si>
  <si>
    <t>ANYERAC</t>
  </si>
  <si>
    <t>ANYPDEC</t>
  </si>
  <si>
    <t>ANYC</t>
  </si>
  <si>
    <t>RECID</t>
  </si>
  <si>
    <t>ERA_X</t>
  </si>
  <si>
    <t>ERADAY</t>
  </si>
  <si>
    <t>EXNAME</t>
  </si>
  <si>
    <t>EXTDD</t>
  </si>
  <si>
    <t>EXRFC</t>
  </si>
  <si>
    <t>PDE_X</t>
  </si>
  <si>
    <t>PDEDAY</t>
  </si>
  <si>
    <t>PXNAME</t>
  </si>
  <si>
    <t>PXTDD</t>
  </si>
  <si>
    <t>PXRFC</t>
  </si>
  <si>
    <t>16.2.4.9</t>
  </si>
  <si>
    <t>EXSTRDY; EXSTRMO; EXSTRYR</t>
  </si>
  <si>
    <t>partial date</t>
  </si>
  <si>
    <t>EXSTRDY; EXSTRMO; EXSTRYR; MPL.RAND_D</t>
  </si>
  <si>
    <t>imputed start date-RAND_D+1</t>
  </si>
  <si>
    <t>ANAL.MPL; RAW.PAHHX; RAW.PDE5I</t>
  </si>
  <si>
    <t>ANAL.MPL; RAW.PAHHX; RAW.ERA</t>
  </si>
  <si>
    <t>PXSTRDY; PXSTRMO; PXSTRYR</t>
  </si>
  <si>
    <t>PXSTRDY; PXSTRMO; PXSTRYR; MPL.RAND_D</t>
  </si>
  <si>
    <t>RAW.PAHHX; RAW.ERA</t>
  </si>
  <si>
    <t>PAHHX.EXNAME; ERA.EXRFC</t>
  </si>
  <si>
    <t>copy EXNAME but assign when specified text is found in EXRFC</t>
  </si>
  <si>
    <t>PAHHX.PXNAME; ERA.PXRFC</t>
  </si>
  <si>
    <t>copy PXNAME but assign when specified text is found in PXRFC</t>
  </si>
  <si>
    <t>PAHHX.EXTDD; ERA.EXTDD</t>
  </si>
  <si>
    <t>PAHHX.PXTDD; ERA.PXTDD</t>
  </si>
  <si>
    <t>RAW.ERA</t>
  </si>
  <si>
    <t>ERA.EXRFC</t>
  </si>
  <si>
    <t>RAW.PDE5I</t>
  </si>
  <si>
    <t>PDE5I.PXRFC</t>
  </si>
  <si>
    <t>RAW.PAHHX; RAW.PDE5I</t>
  </si>
  <si>
    <t>RAW.ERA; RAW.PDE5I</t>
  </si>
  <si>
    <t>copied RECID, but values of -1 and 0 were added.</t>
  </si>
  <si>
    <t>MPL.ITT</t>
  </si>
  <si>
    <t>MPL.SUBNO</t>
  </si>
  <si>
    <t>MPL.TRT</t>
  </si>
  <si>
    <t>ERA.EXNAME; PDE5I.PXNAME</t>
  </si>
  <si>
    <t>ordering of the background era/pde5i meds at baseilne</t>
  </si>
  <si>
    <t>RAW.PDE5I; RAW.ERA</t>
  </si>
  <si>
    <t>ANYERAC; ANYPDEC</t>
  </si>
  <si>
    <t>max</t>
  </si>
  <si>
    <t>set to 1 for records after baseline where imputed start date for EXNAME is before last date</t>
  </si>
  <si>
    <t>set to 1 for records after baseline where imputed start date for PXNAME is before last date</t>
  </si>
  <si>
    <t>ERA.RECID; ERA.EXNAME; ERA_D; MPL.DOSEL_D</t>
  </si>
  <si>
    <t>PDE5I.RECID; PDE5I.PXNAME; PDE5I_D; MPL.DOSEL_D</t>
  </si>
  <si>
    <t>RAW.ERA; ANAL.MPL</t>
  </si>
  <si>
    <t>RAW.PDE5I; ANAL.MPL</t>
  </si>
  <si>
    <t>SORTORDER</t>
  </si>
  <si>
    <t>SASTYPE</t>
  </si>
  <si>
    <t>SASLENGTH</t>
  </si>
  <si>
    <t>BUSINESS_RULE</t>
  </si>
  <si>
    <t>VLFLAG</t>
  </si>
  <si>
    <t>DATASET</t>
  </si>
  <si>
    <t>LILLY_VERSION</t>
  </si>
  <si>
    <t>CDISC_IG</t>
  </si>
  <si>
    <t>VARIABLE</t>
  </si>
  <si>
    <t>SOURCE_DATASET</t>
  </si>
  <si>
    <t>VARIABLE_REQUIRED</t>
  </si>
  <si>
    <t>ANALYSIS_ALGORITHM</t>
  </si>
  <si>
    <t>DATATYPE</t>
  </si>
  <si>
    <t>SIGNIFICANT_DIGITS</t>
  </si>
  <si>
    <t>CTLIST</t>
  </si>
  <si>
    <t>DICTIONARY_NAME</t>
  </si>
  <si>
    <t>Version #</t>
  </si>
  <si>
    <t>Reason for Version</t>
  </si>
  <si>
    <t>CDISC Related Version</t>
  </si>
  <si>
    <t>Date</t>
  </si>
  <si>
    <t>Comments</t>
  </si>
  <si>
    <t>Initial  release</t>
  </si>
  <si>
    <t>ADaM IG V1.0</t>
  </si>
  <si>
    <t>BDS</t>
  </si>
  <si>
    <t>ADaM 1.0</t>
  </si>
  <si>
    <t>STUDYID</t>
  </si>
  <si>
    <t>USUBJID</t>
  </si>
  <si>
    <t>PARAMCD</t>
  </si>
  <si>
    <t>PARAM</t>
  </si>
  <si>
    <t>PARAMN</t>
  </si>
  <si>
    <t>AVAL</t>
  </si>
  <si>
    <t>TRTP</t>
  </si>
  <si>
    <t>TRTPN</t>
  </si>
  <si>
    <t>TRTA</t>
  </si>
  <si>
    <t>TRTAN</t>
  </si>
  <si>
    <t>Y</t>
  </si>
  <si>
    <t>Parameter Code</t>
  </si>
  <si>
    <t>Parameter</t>
  </si>
  <si>
    <t>Parameter (N)</t>
  </si>
  <si>
    <t>Planned Treatment</t>
  </si>
  <si>
    <t>Planned Treatment (N)</t>
  </si>
  <si>
    <t>Actual Treatment</t>
  </si>
  <si>
    <t>Actual Treatment (N)</t>
  </si>
  <si>
    <t>C</t>
  </si>
  <si>
    <t>N</t>
  </si>
  <si>
    <t>text</t>
  </si>
  <si>
    <t>integer</t>
  </si>
  <si>
    <t>Short name of the analysis parameter</t>
  </si>
  <si>
    <t>ALGORITHM_STATUS</t>
  </si>
  <si>
    <t>CHGOPT</t>
  </si>
  <si>
    <t>ORIGIN</t>
  </si>
  <si>
    <t>VALUE_REQUIRED</t>
  </si>
  <si>
    <t>SAFFL</t>
  </si>
  <si>
    <t>LOCKED</t>
  </si>
  <si>
    <t>CHGREQ</t>
  </si>
  <si>
    <t>ABC123</t>
  </si>
  <si>
    <t>ADSL</t>
  </si>
  <si>
    <t>Predecessor</t>
  </si>
  <si>
    <t>Derived</t>
  </si>
  <si>
    <t>Assigned</t>
  </si>
  <si>
    <t>DISPLAY_FORMAT</t>
  </si>
  <si>
    <t>date9.</t>
  </si>
  <si>
    <t>INPUT_DATA_SETS</t>
  </si>
  <si>
    <t>CTCONFIG</t>
  </si>
  <si>
    <t>CTLISTSTUDY</t>
  </si>
  <si>
    <t>DEFINE</t>
  </si>
  <si>
    <t>ABC123-101-1001</t>
  </si>
  <si>
    <t>PLACEBO</t>
  </si>
  <si>
    <t>ABC123-101-1002</t>
  </si>
  <si>
    <t>ADEVENT</t>
  </si>
  <si>
    <t>SRCDOM</t>
  </si>
  <si>
    <t>SRCSEQ</t>
  </si>
  <si>
    <t>Source Sequence Number</t>
  </si>
  <si>
    <t>The name of the SDTM domain or ADaM data set that relates to the analysis variable.</t>
  </si>
  <si>
    <t>The sequence number of the row identified in the source domain.</t>
  </si>
  <si>
    <t xml:space="preserve">One-to-one mapping of PARAMCD as described in the value-level metadata. </t>
  </si>
  <si>
    <t>ITTFL</t>
  </si>
  <si>
    <t>Copied from ADSL.SAFFL</t>
  </si>
  <si>
    <t>Copied from ADSL.ITTFL</t>
  </si>
  <si>
    <t>Analysis Value</t>
  </si>
  <si>
    <t>10OCT2013</t>
  </si>
  <si>
    <t>19FEB2014</t>
  </si>
  <si>
    <t>13OCT2013</t>
  </si>
  <si>
    <t>ASEQ</t>
  </si>
  <si>
    <t>Sorting should be done based on the SORTORDER Column variable. Begin at 1 and increment by 1 for each record per subject.</t>
  </si>
  <si>
    <t>ADTTE</t>
  </si>
  <si>
    <t>CNSR</t>
  </si>
  <si>
    <t>ADT</t>
  </si>
  <si>
    <t>EVNTDESC</t>
  </si>
  <si>
    <t>Mapping of PARAMCD as defined in the codelist.</t>
  </si>
  <si>
    <r>
      <t>CTA.ADTTE</t>
    </r>
    <r>
      <rPr>
        <sz val="11"/>
        <rFont val="Calibri"/>
        <family val="2"/>
        <scheme val="minor"/>
      </rPr>
      <t>PARAMCD</t>
    </r>
  </si>
  <si>
    <t>Numeric equivalent of PARAM for display order.
If PARAMN exists then PARAM must exist.</t>
  </si>
  <si>
    <t>Analysis Date</t>
  </si>
  <si>
    <t>Analysis date of event or censoring associated with analysis value.</t>
  </si>
  <si>
    <t>STARTDT</t>
  </si>
  <si>
    <t>Time to Event Origin Date for Subject</t>
  </si>
  <si>
    <t>TRTP = ADSL.TRTxxP, where xx represents the value of APERIOD.  E.g., if APERIOD=1, then TRTP=ADSL.TRT01P.  This algorithm may be overridden at a study level.
Updated ORIGIN based on ANALYSIS_ALGORITHM.</t>
  </si>
  <si>
    <t>CTA.TRT</t>
  </si>
  <si>
    <t>The planned treatment associated with the record.  Must be one of the values of TRTxxP in ADSL.   
Any ADSL treatment variables may be copied to the dataset if TRTP and TRTA are not sufficient for analysis.
If TRTP exists then TRTPN must exist.</t>
  </si>
  <si>
    <t>One to one numeric mapping of TRTP as defined in the code list</t>
  </si>
  <si>
    <t>CTA.TRTN</t>
  </si>
  <si>
    <t>Numeric equivalent of TRTP for display order.
If TRTPN exists then TRTP must exist.</t>
  </si>
  <si>
    <t>TRTA = ADSL.TRTxxA, where xx represents the value of APERIOD.  E.g., if APERIOD=1, then TRTA=ADSL.TRT01A.  This algorithm may be overridden at a study level.
Updated ORIGIN based on ANALYSIS_ALGORITHM.</t>
  </si>
  <si>
    <t>The actual treatment associated with the record.  Must be one of the values of TRTxxA in ADSL.
If TRTA exists then TRTAN must exist.</t>
  </si>
  <si>
    <t>One to one numeric mapping of TRTA as defined in the code list</t>
  </si>
  <si>
    <t>Numeric equivalent of TRTA for display order.
If TRTAN exists then TRTA must exist.</t>
  </si>
  <si>
    <t>Censor</t>
  </si>
  <si>
    <t>Censor if the value associated with analysis value is not the expected time to event.</t>
  </si>
  <si>
    <t>Set to 'ADEVENT'</t>
  </si>
  <si>
    <t>Source Data</t>
  </si>
  <si>
    <t>Copied from ADEVENT.ASEQ</t>
  </si>
  <si>
    <t>Event or Censoring Description</t>
  </si>
  <si>
    <t>Describe the event of interest.</t>
  </si>
  <si>
    <t>DEATH</t>
  </si>
  <si>
    <t>ALIVE</t>
  </si>
  <si>
    <r>
      <t>AD</t>
    </r>
    <r>
      <rPr>
        <b/>
        <sz val="11"/>
        <color rgb="FFFF0000"/>
        <rFont val="Calibri"/>
        <family val="2"/>
        <scheme val="minor"/>
      </rPr>
      <t>TTE</t>
    </r>
  </si>
  <si>
    <t>Time to Event Analysis</t>
  </si>
  <si>
    <t>PPROTFL</t>
  </si>
  <si>
    <t>Copied from ADSL.PPROTFL</t>
  </si>
  <si>
    <t>Analysis Sequence Number</t>
  </si>
  <si>
    <t>Based on the SORTORDER Column variable. Begin at 1 and increment by 1 for each record per subject.</t>
  </si>
  <si>
    <t>The original date of risk for the time-to-event.  Typically date of randomization or the start of  treatment.</t>
  </si>
  <si>
    <t>One-to-one mapping of PARAMCD as described in the value-level metadata.</t>
  </si>
  <si>
    <t xml:space="preserve">Displayed text equivalent of PARAMCD. 
</t>
  </si>
  <si>
    <t>PD</t>
  </si>
  <si>
    <t>RAMUCIRUMAB</t>
  </si>
  <si>
    <t>11JAN2014</t>
  </si>
  <si>
    <t>Start of New Anti-Cancer Therapy</t>
  </si>
  <si>
    <t>13JAN2015</t>
  </si>
  <si>
    <t>4.3696</t>
  </si>
  <si>
    <t>3.0883</t>
  </si>
  <si>
    <t>15.0472</t>
  </si>
  <si>
    <t>21FEB2015</t>
  </si>
  <si>
    <t>16.3285</t>
  </si>
  <si>
    <t>13.6016</t>
  </si>
  <si>
    <t>30NOV2014</t>
  </si>
  <si>
    <t>Updated per team comments</t>
  </si>
  <si>
    <r>
      <t xml:space="preserve">Copied from </t>
    </r>
    <r>
      <rPr>
        <b/>
        <sz val="11"/>
        <color rgb="FFFF0000"/>
        <rFont val="Calibri"/>
        <family val="2"/>
        <scheme val="minor"/>
      </rPr>
      <t>ADEVENT</t>
    </r>
    <r>
      <rPr>
        <sz val="11"/>
        <rFont val="Calibri"/>
        <family val="2"/>
        <scheme val="minor"/>
      </rPr>
      <t>.STUDYID</t>
    </r>
  </si>
  <si>
    <r>
      <t xml:space="preserve">Copied from </t>
    </r>
    <r>
      <rPr>
        <b/>
        <sz val="11"/>
        <color rgb="FFFF0000"/>
        <rFont val="Calibri"/>
        <family val="2"/>
        <scheme val="minor"/>
      </rPr>
      <t>ADEVENT</t>
    </r>
    <r>
      <rPr>
        <sz val="11"/>
        <rFont val="Calibri"/>
        <family val="2"/>
        <scheme val="minor"/>
      </rPr>
      <t>.USUBJID</t>
    </r>
  </si>
  <si>
    <t>One to one numeric mapping of PARAMCD as defined in the value level metadata.</t>
  </si>
  <si>
    <t>SELECT</t>
  </si>
  <si>
    <r>
      <t xml:space="preserve">Numeric analysis value described by PARAM.  AVAL, AVALC or both </t>
    </r>
    <r>
      <rPr>
        <b/>
        <sz val="11"/>
        <rFont val="Calibri"/>
        <family val="2"/>
        <scheme val="minor"/>
      </rPr>
      <t>MUST</t>
    </r>
    <r>
      <rPr>
        <sz val="11"/>
        <rFont val="Calibri"/>
        <family val="2"/>
        <scheme val="minor"/>
      </rPr>
      <t xml:space="preserve"> be present in a BDS data set. If unit is month, then formula is round((ADTTE.ADT - ADDTE.STARTDT + 1)/30.4375, 0.0001)</t>
    </r>
  </si>
  <si>
    <t>ADTTE.ADT - ADDTE.STARTDT + 1, then converted to months, days or weeks per PARAM definition.</t>
  </si>
  <si>
    <t>float</t>
  </si>
  <si>
    <t>RANDFL</t>
  </si>
  <si>
    <t>Copied from ADSL.RANDFL</t>
  </si>
  <si>
    <t>ENRFL</t>
  </si>
  <si>
    <t>Copied from ADSL.ENRFL</t>
  </si>
  <si>
    <r>
      <t>CTA.ADTTE</t>
    </r>
    <r>
      <rPr>
        <sz val="11"/>
        <rFont val="Calibri"/>
        <family val="2"/>
        <scheme val="minor"/>
      </rPr>
      <t>PARAM</t>
    </r>
  </si>
  <si>
    <r>
      <t>CTA.ADTTE</t>
    </r>
    <r>
      <rPr>
        <sz val="11"/>
        <rFont val="Calibri"/>
        <family val="2"/>
        <scheme val="minor"/>
      </rPr>
      <t>PARAMN</t>
    </r>
  </si>
  <si>
    <t>CTA.ADTTECNSR</t>
  </si>
  <si>
    <t>CTA.ADTTEEVNTDESC</t>
  </si>
  <si>
    <t>OS</t>
  </si>
  <si>
    <t>Overall Survival time</t>
  </si>
  <si>
    <t>Progression-free Survival time</t>
  </si>
  <si>
    <t>Progression-free Survival with No Censoring for New Anti-Cancer Therapy</t>
  </si>
  <si>
    <t>Progression-free Survival with ITT Approach</t>
  </si>
  <si>
    <t>Derived as described in the value-level metadata per PARAMCD value.</t>
  </si>
  <si>
    <t>PARQUAL</t>
  </si>
  <si>
    <t>PFS1</t>
  </si>
  <si>
    <t>PFS1A</t>
  </si>
  <si>
    <t>PFS1B</t>
  </si>
  <si>
    <t>Parameter Qualifier</t>
  </si>
  <si>
    <t>CTA.ADEVENTPARQUAL</t>
  </si>
  <si>
    <t>Parameter Qualifier. In this data set, it contains evaluator's and assessment criterion's  names. Example values include: "RECIST 1.1, Investigator", "RECIST 1.1, Independent Reviewer", "mRECIST, Investigator", "mRECIST, Independent Reviewer".</t>
  </si>
  <si>
    <t>ADSL, ADEVENT, RS and ADDS</t>
  </si>
  <si>
    <t>One record per subject per time to event per reviewer</t>
  </si>
  <si>
    <t>Dataset ADTTTE includes all time to event  parameters. Include population for efficacy analysis.  One record per subject for OS as dates to derive OS are not affected by different reviewer or criteria. All PFS analysis will have one record per subject per event for each reviewer.</t>
  </si>
  <si>
    <t xml:space="preserve">Set to concatenation of SDTM.RS.RSCAT and SDTM.RS.RSEVAL with ", " in between. Null for OS as dates to derive OS are not affected by different reviewer or criteria.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</si>
</sst>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409]d\-mmm\-yyyy;@"/>
  </numFmts>
  <fonts count="13" x14ac:knownFonts="1">
    <font>
      <sz val="11"/>
      <color theme="1"/>
      <name val="Calibri"/>
      <family val="2"/>
      <scheme val="minor"/>
    </font>
    <font>
      <sz val="10"/>
      <color theme="1"/>
      <name val="Calibri"/>
      <family val="2"/>
      <scheme val="minor"/>
    </font>
    <font>
      <b/>
      <sz val="10"/>
      <color theme="1"/>
      <name val="Calibri"/>
      <family val="2"/>
      <scheme val="minor"/>
    </font>
    <font>
      <sz val="10"/>
      <name val="MS Sans Serif"/>
      <family val="2"/>
    </font>
    <font>
      <u/>
      <sz val="11"/>
      <color theme="10"/>
      <name val="Calibri"/>
      <family val="2"/>
      <scheme val="minor"/>
    </font>
    <font>
      <u/>
      <sz val="11"/>
      <color theme="11"/>
      <name val="Calibri"/>
      <family val="2"/>
      <scheme val="minor"/>
    </font>
    <font>
      <sz val="1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b/>
      <sz val="11"/>
      <name val="Calibri"/>
      <family val="2"/>
    </font>
    <font>
      <sz val="11"/>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62">
    <xf numFmtId="0" fontId="0" fillId="0" borderId="0"/>
    <xf numFmtId="0" fontId="3"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07">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0" applyFont="1"/>
    <xf numFmtId="0" fontId="0" fillId="0" borderId="0" xfId="0" quotePrefix="1" applyAlignment="1">
      <alignment horizontal="center"/>
    </xf>
    <xf numFmtId="0" fontId="0" fillId="0" borderId="0" xfId="0" applyAlignment="1">
      <alignment horizontal="center"/>
    </xf>
    <xf numFmtId="0" fontId="0" fillId="0" borderId="0" xfId="0" applyAlignment="1">
      <alignment horizontal="left"/>
    </xf>
    <xf numFmtId="0" fontId="8" fillId="0" borderId="0" xfId="0" applyFont="1" applyFill="1" applyBorder="1" applyAlignment="1">
      <alignment vertical="top" wrapText="1"/>
    </xf>
    <xf numFmtId="0" fontId="7" fillId="0" borderId="0" xfId="0" applyFont="1" applyFill="1" applyBorder="1" applyAlignment="1">
      <alignment vertical="top" wrapText="1"/>
    </xf>
    <xf numFmtId="0" fontId="7" fillId="0" borderId="0" xfId="0" applyFont="1" applyFill="1" applyBorder="1" applyAlignment="1">
      <alignment horizontal="left" vertical="top" wrapText="1"/>
    </xf>
    <xf numFmtId="0" fontId="7" fillId="0" borderId="0" xfId="0" applyFont="1" applyFill="1" applyBorder="1" applyAlignment="1">
      <alignment horizontal="right" vertical="top" wrapText="1"/>
    </xf>
    <xf numFmtId="0" fontId="8" fillId="0" borderId="4" xfId="0" applyFont="1" applyBorder="1" applyAlignment="1">
      <alignment horizontal="left" vertical="top" wrapText="1"/>
    </xf>
    <xf numFmtId="0" fontId="0" fillId="0" borderId="0" xfId="0" applyFont="1" applyAlignment="1">
      <alignment vertical="top"/>
    </xf>
    <xf numFmtId="0" fontId="0" fillId="0" borderId="3" xfId="0" applyFont="1" applyBorder="1" applyAlignment="1">
      <alignment vertical="top" wrapText="1"/>
    </xf>
    <xf numFmtId="165" fontId="0" fillId="0" borderId="3" xfId="0" quotePrefix="1" applyNumberFormat="1" applyFont="1" applyBorder="1" applyAlignment="1">
      <alignment vertical="top" wrapText="1"/>
    </xf>
    <xf numFmtId="0" fontId="0" fillId="0" borderId="0" xfId="0" applyFont="1" applyAlignment="1">
      <alignment horizontal="left" vertical="top"/>
    </xf>
    <xf numFmtId="0" fontId="0" fillId="0" borderId="0" xfId="0" applyFont="1" applyAlignment="1">
      <alignment vertical="top" wrapText="1"/>
    </xf>
    <xf numFmtId="0" fontId="10" fillId="0" borderId="4" xfId="0" applyFont="1" applyFill="1" applyBorder="1" applyAlignment="1">
      <alignment vertical="top"/>
    </xf>
    <xf numFmtId="0" fontId="10" fillId="0" borderId="2" xfId="0" applyFont="1" applyFill="1" applyBorder="1" applyAlignment="1">
      <alignment vertical="top" wrapText="1"/>
    </xf>
    <xf numFmtId="0" fontId="10" fillId="0" borderId="2" xfId="0" applyFont="1" applyFill="1" applyBorder="1" applyAlignment="1">
      <alignment vertical="top"/>
    </xf>
    <xf numFmtId="0" fontId="11" fillId="0" borderId="2" xfId="0" applyFont="1" applyFill="1" applyBorder="1" applyAlignment="1">
      <alignment horizontal="left" vertical="top" wrapText="1"/>
    </xf>
    <xf numFmtId="0" fontId="10" fillId="0" borderId="5" xfId="0" applyFont="1" applyFill="1" applyBorder="1" applyAlignment="1">
      <alignment horizontal="left" vertical="top" wrapText="1"/>
    </xf>
    <xf numFmtId="0" fontId="0" fillId="0" borderId="0" xfId="0" applyFont="1" applyFill="1" applyBorder="1" applyAlignment="1">
      <alignment vertical="top"/>
    </xf>
    <xf numFmtId="0" fontId="0" fillId="0" borderId="3" xfId="0" applyFont="1" applyBorder="1" applyAlignment="1">
      <alignment vertical="top"/>
    </xf>
    <xf numFmtId="0" fontId="0" fillId="0" borderId="3" xfId="0" applyFont="1" applyBorder="1" applyAlignment="1">
      <alignment horizontal="left" vertical="top" wrapText="1"/>
    </xf>
    <xf numFmtId="0" fontId="0" fillId="0" borderId="0" xfId="0" applyFont="1" applyBorder="1" applyAlignment="1">
      <alignment vertical="top"/>
    </xf>
    <xf numFmtId="0" fontId="0" fillId="0" borderId="0" xfId="0" applyFont="1" applyBorder="1" applyAlignment="1">
      <alignment vertical="top" wrapText="1"/>
    </xf>
    <xf numFmtId="0" fontId="0" fillId="0" borderId="0" xfId="0" applyFont="1" applyBorder="1" applyAlignment="1">
      <alignment horizontal="left" vertical="top"/>
    </xf>
    <xf numFmtId="0" fontId="0" fillId="0" borderId="1" xfId="0" applyFont="1" applyFill="1" applyBorder="1" applyAlignment="1">
      <alignment horizontal="left"/>
    </xf>
    <xf numFmtId="0" fontId="0" fillId="0" borderId="0" xfId="0" applyFont="1" applyFill="1" applyBorder="1" applyAlignment="1">
      <alignment horizontal="left"/>
    </xf>
    <xf numFmtId="0" fontId="0" fillId="0" borderId="3" xfId="0" applyFont="1" applyFill="1" applyBorder="1" applyAlignment="1">
      <alignment horizontal="left"/>
    </xf>
    <xf numFmtId="164" fontId="0" fillId="0" borderId="3" xfId="0" applyNumberFormat="1" applyFont="1" applyBorder="1" applyAlignment="1">
      <alignment horizontal="right" vertical="top" wrapText="1"/>
    </xf>
    <xf numFmtId="0" fontId="0" fillId="0" borderId="0" xfId="0" applyFont="1" applyAlignment="1">
      <alignment horizontal="right" vertical="top"/>
    </xf>
    <xf numFmtId="0" fontId="8" fillId="0" borderId="2" xfId="0" applyFont="1" applyBorder="1" applyAlignment="1">
      <alignment horizontal="left" vertical="top" wrapText="1"/>
    </xf>
    <xf numFmtId="0" fontId="8" fillId="0" borderId="5" xfId="0" applyFont="1" applyBorder="1" applyAlignment="1">
      <alignment horizontal="left" vertical="top" wrapText="1"/>
    </xf>
    <xf numFmtId="164" fontId="6" fillId="0" borderId="3" xfId="0" applyNumberFormat="1" applyFont="1" applyBorder="1" applyAlignment="1">
      <alignment horizontal="right" vertical="top" wrapText="1"/>
    </xf>
    <xf numFmtId="0" fontId="10" fillId="0" borderId="2" xfId="1" applyFont="1" applyFill="1" applyBorder="1" applyAlignment="1">
      <alignment vertical="top" wrapText="1"/>
    </xf>
    <xf numFmtId="0" fontId="0" fillId="0" borderId="3" xfId="0" applyFont="1" applyFill="1" applyBorder="1" applyAlignment="1">
      <alignment horizontal="left" vertical="top" wrapText="1"/>
    </xf>
    <xf numFmtId="0" fontId="0" fillId="0" borderId="3" xfId="0" applyFont="1" applyFill="1" applyBorder="1" applyAlignment="1">
      <alignment vertical="top" wrapText="1"/>
    </xf>
    <xf numFmtId="0" fontId="10" fillId="0" borderId="4" xfId="1" applyFont="1" applyFill="1" applyBorder="1" applyAlignment="1">
      <alignment vertical="top" wrapText="1"/>
    </xf>
    <xf numFmtId="0" fontId="11" fillId="0" borderId="2" xfId="1" applyFont="1" applyFill="1" applyBorder="1" applyAlignment="1">
      <alignment vertical="top" wrapText="1"/>
    </xf>
    <xf numFmtId="0" fontId="11" fillId="0" borderId="2" xfId="0" applyNumberFormat="1" applyFont="1" applyFill="1" applyBorder="1" applyAlignment="1" applyProtection="1">
      <alignment vertical="top" wrapText="1"/>
    </xf>
    <xf numFmtId="0" fontId="10" fillId="0" borderId="7" xfId="1" applyFont="1" applyFill="1" applyBorder="1" applyAlignment="1">
      <alignment vertical="top" wrapText="1"/>
    </xf>
    <xf numFmtId="0" fontId="10" fillId="0" borderId="5" xfId="1" applyFont="1" applyFill="1" applyBorder="1" applyAlignment="1">
      <alignment vertical="top" wrapText="1"/>
    </xf>
    <xf numFmtId="0" fontId="0" fillId="0" borderId="3" xfId="0" applyFill="1" applyBorder="1" applyAlignment="1">
      <alignment vertical="top" wrapText="1"/>
    </xf>
    <xf numFmtId="0" fontId="6" fillId="2" borderId="1" xfId="1" applyFont="1" applyFill="1" applyBorder="1" applyAlignment="1">
      <alignment horizontal="left" vertical="top" wrapText="1"/>
    </xf>
    <xf numFmtId="0" fontId="7" fillId="2" borderId="3" xfId="0" applyFont="1" applyFill="1" applyBorder="1" applyAlignment="1">
      <alignment horizontal="left" vertical="top" wrapText="1"/>
    </xf>
    <xf numFmtId="0" fontId="7" fillId="2" borderId="3" xfId="0" applyFont="1" applyFill="1" applyBorder="1" applyAlignment="1">
      <alignment horizontal="right" vertical="top" wrapText="1"/>
    </xf>
    <xf numFmtId="0" fontId="9" fillId="2" borderId="3" xfId="1" applyFont="1" applyFill="1" applyBorder="1" applyAlignment="1">
      <alignment vertical="top" wrapText="1"/>
    </xf>
    <xf numFmtId="0" fontId="6" fillId="2" borderId="3" xfId="1" applyFont="1" applyFill="1" applyBorder="1" applyAlignment="1">
      <alignment horizontal="right" vertical="top" wrapText="1"/>
    </xf>
    <xf numFmtId="0" fontId="12" fillId="2" borderId="6" xfId="1" applyFont="1" applyFill="1" applyBorder="1" applyAlignment="1">
      <alignment vertical="top" wrapText="1"/>
    </xf>
    <xf numFmtId="0" fontId="6" fillId="2" borderId="3" xfId="1" applyFont="1" applyFill="1" applyBorder="1" applyAlignment="1">
      <alignment vertical="top" wrapText="1"/>
    </xf>
    <xf numFmtId="0" fontId="7" fillId="2" borderId="3" xfId="0" applyFont="1" applyFill="1" applyBorder="1" applyAlignment="1">
      <alignment vertical="top" wrapText="1"/>
    </xf>
    <xf numFmtId="0" fontId="7" fillId="2" borderId="1" xfId="0" applyFont="1" applyFill="1" applyBorder="1" applyAlignment="1">
      <alignment vertical="top" wrapText="1"/>
    </xf>
    <xf numFmtId="0" fontId="7" fillId="2" borderId="0" xfId="0" applyFont="1" applyFill="1" applyBorder="1" applyAlignment="1">
      <alignment vertical="top" wrapText="1"/>
    </xf>
    <xf numFmtId="0" fontId="7" fillId="2" borderId="1" xfId="0" applyFont="1" applyFill="1" applyBorder="1" applyAlignment="1">
      <alignment horizontal="left" vertical="top" wrapText="1"/>
    </xf>
    <xf numFmtId="0" fontId="7" fillId="2" borderId="0" xfId="0" quotePrefix="1" applyFont="1" applyFill="1" applyBorder="1" applyAlignment="1">
      <alignment vertical="top" wrapText="1"/>
    </xf>
    <xf numFmtId="0" fontId="0" fillId="2" borderId="1" xfId="0" applyFont="1" applyFill="1" applyBorder="1" applyAlignment="1">
      <alignment horizontal="left" vertical="top" wrapText="1"/>
    </xf>
    <xf numFmtId="0" fontId="0" fillId="2" borderId="1" xfId="0" applyFont="1" applyFill="1" applyBorder="1" applyAlignment="1">
      <alignment vertical="top" wrapText="1"/>
    </xf>
    <xf numFmtId="0" fontId="10" fillId="0" borderId="8" xfId="1" applyFont="1" applyFill="1" applyBorder="1" applyAlignment="1">
      <alignment vertical="top" wrapText="1"/>
    </xf>
    <xf numFmtId="0" fontId="0" fillId="0" borderId="3" xfId="0" applyFill="1" applyBorder="1" applyAlignment="1">
      <alignment horizontal="left"/>
    </xf>
    <xf numFmtId="0" fontId="0" fillId="0" borderId="1" xfId="0" applyFill="1" applyBorder="1" applyAlignment="1">
      <alignment horizontal="left"/>
    </xf>
    <xf numFmtId="0" fontId="0" fillId="2" borderId="3" xfId="0" applyFont="1" applyFill="1" applyBorder="1" applyAlignment="1">
      <alignment vertical="top" wrapText="1"/>
    </xf>
    <xf numFmtId="49" fontId="0" fillId="0" borderId="3" xfId="0" applyNumberFormat="1" applyFill="1" applyBorder="1" applyAlignment="1">
      <alignment horizontal="right"/>
    </xf>
    <xf numFmtId="49" fontId="0" fillId="0" borderId="1" xfId="0" applyNumberFormat="1" applyFill="1" applyBorder="1" applyAlignment="1">
      <alignment horizontal="right"/>
    </xf>
    <xf numFmtId="49" fontId="0" fillId="0" borderId="1" xfId="0" applyNumberFormat="1" applyFont="1" applyFill="1" applyBorder="1" applyAlignment="1">
      <alignment horizontal="right"/>
    </xf>
    <xf numFmtId="0" fontId="0" fillId="0" borderId="3" xfId="0" applyFont="1" applyFill="1" applyBorder="1" applyAlignment="1">
      <alignment horizontal="left" vertical="top"/>
    </xf>
    <xf numFmtId="0" fontId="0" fillId="0" borderId="1" xfId="0" applyFont="1" applyFill="1" applyBorder="1" applyAlignment="1">
      <alignment horizontal="left" vertical="top"/>
    </xf>
    <xf numFmtId="0" fontId="0" fillId="0" borderId="3" xfId="0" applyFill="1" applyBorder="1" applyAlignment="1">
      <alignment horizontal="left" vertical="top"/>
    </xf>
    <xf numFmtId="0" fontId="7" fillId="2" borderId="1" xfId="0" applyFont="1" applyFill="1" applyBorder="1" applyAlignment="1">
      <alignment horizontal="right" vertical="top" wrapText="1"/>
    </xf>
    <xf numFmtId="0" fontId="9" fillId="2" borderId="1" xfId="1" applyFont="1" applyFill="1" applyBorder="1" applyAlignment="1">
      <alignment vertical="top" wrapText="1"/>
    </xf>
    <xf numFmtId="0" fontId="6" fillId="2" borderId="1" xfId="1" applyFont="1" applyFill="1" applyBorder="1" applyAlignment="1">
      <alignment horizontal="right" vertical="top" wrapText="1"/>
    </xf>
    <xf numFmtId="0" fontId="6" fillId="2" borderId="1" xfId="1" applyFont="1" applyFill="1" applyBorder="1" applyAlignment="1">
      <alignment vertical="top" wrapText="1"/>
    </xf>
    <xf numFmtId="0" fontId="10" fillId="2" borderId="1" xfId="1" applyFont="1" applyFill="1" applyBorder="1" applyAlignment="1">
      <alignment vertical="top" wrapText="1"/>
    </xf>
    <xf numFmtId="0" fontId="7" fillId="2" borderId="9" xfId="0" applyFont="1" applyFill="1" applyBorder="1" applyAlignment="1">
      <alignment vertical="top" wrapText="1"/>
    </xf>
    <xf numFmtId="0" fontId="0" fillId="2" borderId="10" xfId="0" applyFont="1" applyFill="1" applyBorder="1" applyAlignment="1">
      <alignment vertical="top" wrapText="1"/>
    </xf>
    <xf numFmtId="0" fontId="7" fillId="2" borderId="10" xfId="0" applyFont="1" applyFill="1" applyBorder="1" applyAlignment="1">
      <alignment vertical="top" wrapText="1"/>
    </xf>
    <xf numFmtId="0" fontId="7" fillId="2" borderId="10" xfId="0" applyFont="1" applyFill="1" applyBorder="1" applyAlignment="1">
      <alignment horizontal="right" vertical="top" wrapText="1"/>
    </xf>
    <xf numFmtId="0" fontId="0" fillId="2" borderId="9" xfId="0" applyFont="1" applyFill="1" applyBorder="1" applyAlignment="1">
      <alignment vertical="top" wrapText="1"/>
    </xf>
    <xf numFmtId="0" fontId="8" fillId="0" borderId="3" xfId="0" applyFont="1" applyFill="1" applyBorder="1" applyAlignment="1">
      <alignment horizontal="left"/>
    </xf>
    <xf numFmtId="49" fontId="8" fillId="0" borderId="1" xfId="0" applyNumberFormat="1" applyFont="1" applyFill="1" applyBorder="1" applyAlignment="1">
      <alignment horizontal="right"/>
    </xf>
    <xf numFmtId="49" fontId="8" fillId="0" borderId="1" xfId="0" applyNumberFormat="1" applyFont="1" applyFill="1" applyBorder="1" applyAlignment="1">
      <alignment horizontal="left"/>
    </xf>
    <xf numFmtId="0" fontId="8" fillId="0" borderId="3" xfId="0" applyFont="1" applyFill="1" applyBorder="1" applyAlignment="1">
      <alignment horizontal="left" vertical="top"/>
    </xf>
    <xf numFmtId="0" fontId="8" fillId="0" borderId="1" xfId="0" applyFont="1" applyFill="1" applyBorder="1" applyAlignment="1">
      <alignment horizontal="left"/>
    </xf>
    <xf numFmtId="49" fontId="0" fillId="0" borderId="1" xfId="0" applyNumberFormat="1" applyFont="1" applyFill="1" applyBorder="1" applyAlignment="1">
      <alignment horizontal="left"/>
    </xf>
    <xf numFmtId="0" fontId="0" fillId="0" borderId="0" xfId="0" applyFont="1" applyFill="1" applyBorder="1" applyAlignment="1">
      <alignment horizontal="right"/>
    </xf>
    <xf numFmtId="16" fontId="0" fillId="0" borderId="0" xfId="0" applyNumberFormat="1" applyFont="1" applyFill="1" applyBorder="1" applyAlignment="1">
      <alignment horizontal="left"/>
    </xf>
    <xf numFmtId="14" fontId="0" fillId="0" borderId="0" xfId="0" applyNumberFormat="1" applyFont="1" applyFill="1" applyBorder="1" applyAlignment="1">
      <alignment horizontal="left"/>
    </xf>
    <xf numFmtId="0" fontId="0" fillId="0" borderId="0" xfId="0" applyFont="1" applyFill="1" applyBorder="1" applyAlignment="1">
      <alignment vertical="top" wrapText="1"/>
    </xf>
    <xf numFmtId="0" fontId="0" fillId="2" borderId="3" xfId="0" applyFont="1" applyFill="1" applyBorder="1" applyAlignment="1">
      <alignment horizontal="left" vertical="top" wrapText="1"/>
    </xf>
    <xf numFmtId="0" fontId="8" fillId="0" borderId="3" xfId="0" applyFont="1" applyFill="1" applyBorder="1" applyAlignment="1">
      <alignment horizontal="left" wrapText="1"/>
    </xf>
    <xf numFmtId="0" fontId="0" fillId="0" borderId="3" xfId="0" applyFill="1" applyBorder="1" applyAlignment="1">
      <alignment horizontal="left" wrapText="1"/>
    </xf>
    <xf numFmtId="0" fontId="0" fillId="0" borderId="0" xfId="0" applyFont="1" applyFill="1" applyBorder="1" applyAlignment="1">
      <alignment horizontal="left" wrapText="1"/>
    </xf>
    <xf numFmtId="0" fontId="6" fillId="0" borderId="10" xfId="1" applyFont="1" applyFill="1" applyBorder="1" applyAlignment="1">
      <alignment vertical="top" wrapText="1"/>
    </xf>
    <xf numFmtId="0" fontId="6" fillId="0" borderId="1" xfId="0" applyFont="1" applyFill="1" applyBorder="1" applyAlignment="1">
      <alignment horizontal="right" vertical="top" wrapText="1"/>
    </xf>
    <xf numFmtId="0" fontId="10" fillId="0" borderId="1" xfId="1" applyFont="1" applyFill="1" applyBorder="1" applyAlignment="1">
      <alignment vertical="top" wrapText="1"/>
    </xf>
    <xf numFmtId="0" fontId="6" fillId="0" borderId="10" xfId="1" applyFont="1" applyFill="1" applyBorder="1" applyAlignment="1">
      <alignment horizontal="right" vertical="top" wrapText="1"/>
    </xf>
    <xf numFmtId="0" fontId="6" fillId="0" borderId="1" xfId="1"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1" xfId="0" applyFont="1" applyFill="1" applyBorder="1" applyAlignment="1">
      <alignment vertical="top" wrapText="1"/>
    </xf>
    <xf numFmtId="0" fontId="6" fillId="0" borderId="1" xfId="1" applyFont="1" applyFill="1" applyBorder="1" applyAlignment="1">
      <alignment vertical="top" wrapText="1"/>
    </xf>
    <xf numFmtId="0" fontId="6" fillId="0" borderId="0" xfId="0" applyFont="1" applyFill="1"/>
    <xf numFmtId="0" fontId="6" fillId="0" borderId="1" xfId="1" applyFont="1" applyFill="1" applyBorder="1" applyAlignment="1">
      <alignment horizontal="right" vertical="top" wrapText="1"/>
    </xf>
    <xf numFmtId="0" fontId="6" fillId="0" borderId="10" xfId="0" applyFont="1" applyFill="1" applyBorder="1" applyAlignment="1">
      <alignment vertical="top" wrapText="1"/>
    </xf>
    <xf numFmtId="0" fontId="6" fillId="0" borderId="0" xfId="0" applyFont="1" applyFill="1" applyAlignment="1">
      <alignment wrapText="1"/>
    </xf>
    <xf numFmtId="0" fontId="6" fillId="0" borderId="0" xfId="0" applyFont="1" applyFill="1" applyBorder="1" applyAlignment="1">
      <alignment vertical="top" wrapText="1"/>
    </xf>
  </cellXfs>
  <cellStyles count="36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Normal" xfId="0" builtinId="0"/>
    <cellStyle name="Normal 2" xfId="1"/>
  </cellStyles>
  <dxfs count="0"/>
  <tableStyles count="0" defaultTableStyle="TableStyleMedium9" defaultPivotStyle="PivotStyleLight16"/>
  <colors>
    <mruColors>
      <color rgb="FFA8A8FF"/>
      <color rgb="FFCCCCFF"/>
      <color rgb="FFCC99FF"/>
      <color rgb="FFCCFFFF"/>
      <color rgb="FF66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380206</xdr:colOff>
      <xdr:row>2</xdr:row>
      <xdr:rowOff>84614</xdr:rowOff>
    </xdr:from>
    <xdr:to>
      <xdr:col>0</xdr:col>
      <xdr:colOff>381794</xdr:colOff>
      <xdr:row>5</xdr:row>
      <xdr:rowOff>69374</xdr:rowOff>
    </xdr:to>
    <xdr:cxnSp macro="">
      <xdr:nvCxnSpPr>
        <xdr:cNvPr id="3" name="Straight Arrow Connector 2"/>
        <xdr:cNvCxnSpPr/>
      </xdr:nvCxnSpPr>
      <xdr:spPr>
        <a:xfrm rot="5400000">
          <a:off x="114300" y="716280"/>
          <a:ext cx="533400" cy="1588"/>
        </a:xfrm>
        <a:prstGeom prst="straightConnector1">
          <a:avLst/>
        </a:prstGeom>
        <a:ln>
          <a:prstDash val="sys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138748</xdr:colOff>
      <xdr:row>9</xdr:row>
      <xdr:rowOff>91440</xdr:rowOff>
    </xdr:from>
    <xdr:to>
      <xdr:col>0</xdr:col>
      <xdr:colOff>868680</xdr:colOff>
      <xdr:row>9</xdr:row>
      <xdr:rowOff>93028</xdr:rowOff>
    </xdr:to>
    <xdr:cxnSp macro="">
      <xdr:nvCxnSpPr>
        <xdr:cNvPr id="6" name="Straight Arrow Connector 5"/>
        <xdr:cNvCxnSpPr/>
      </xdr:nvCxnSpPr>
      <xdr:spPr>
        <a:xfrm>
          <a:off x="138748" y="1737360"/>
          <a:ext cx="729932" cy="1588"/>
        </a:xfrm>
        <a:prstGeom prst="straightConnector1">
          <a:avLst/>
        </a:prstGeom>
        <a:ln>
          <a:prstDash val="sys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304800</xdr:colOff>
      <xdr:row>2</xdr:row>
      <xdr:rowOff>45720</xdr:rowOff>
    </xdr:from>
    <xdr:to>
      <xdr:col>2</xdr:col>
      <xdr:colOff>312420</xdr:colOff>
      <xdr:row>5</xdr:row>
      <xdr:rowOff>144780</xdr:rowOff>
    </xdr:to>
    <xdr:cxnSp macro="">
      <xdr:nvCxnSpPr>
        <xdr:cNvPr id="9" name="Straight Arrow Connector 8"/>
        <xdr:cNvCxnSpPr/>
      </xdr:nvCxnSpPr>
      <xdr:spPr>
        <a:xfrm rot="5400000">
          <a:off x="2628900" y="731520"/>
          <a:ext cx="647700" cy="762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167640</xdr:colOff>
      <xdr:row>12</xdr:row>
      <xdr:rowOff>83820</xdr:rowOff>
    </xdr:from>
    <xdr:to>
      <xdr:col>0</xdr:col>
      <xdr:colOff>853440</xdr:colOff>
      <xdr:row>12</xdr:row>
      <xdr:rowOff>91440</xdr:rowOff>
    </xdr:to>
    <xdr:cxnSp macro="">
      <xdr:nvCxnSpPr>
        <xdr:cNvPr id="10" name="Straight Arrow Connector 9"/>
        <xdr:cNvCxnSpPr/>
      </xdr:nvCxnSpPr>
      <xdr:spPr>
        <a:xfrm>
          <a:off x="167640" y="2095500"/>
          <a:ext cx="685800" cy="762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731520</xdr:colOff>
      <xdr:row>2</xdr:row>
      <xdr:rowOff>0</xdr:rowOff>
    </xdr:from>
    <xdr:to>
      <xdr:col>2</xdr:col>
      <xdr:colOff>60960</xdr:colOff>
      <xdr:row>6</xdr:row>
      <xdr:rowOff>22860</xdr:rowOff>
    </xdr:to>
    <xdr:cxnSp macro="">
      <xdr:nvCxnSpPr>
        <xdr:cNvPr id="12" name="Straight Arrow Connector 11"/>
        <xdr:cNvCxnSpPr/>
      </xdr:nvCxnSpPr>
      <xdr:spPr>
        <a:xfrm>
          <a:off x="731520" y="365760"/>
          <a:ext cx="1973580" cy="754380"/>
        </a:xfrm>
        <a:prstGeom prst="straightConnector1">
          <a:avLst/>
        </a:prstGeom>
        <a:ln>
          <a:solidFill>
            <a:srgbClr val="7030A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190500</xdr:colOff>
      <xdr:row>13</xdr:row>
      <xdr:rowOff>106680</xdr:rowOff>
    </xdr:from>
    <xdr:to>
      <xdr:col>0</xdr:col>
      <xdr:colOff>868680</xdr:colOff>
      <xdr:row>13</xdr:row>
      <xdr:rowOff>108268</xdr:rowOff>
    </xdr:to>
    <xdr:cxnSp macro="">
      <xdr:nvCxnSpPr>
        <xdr:cNvPr id="14" name="Straight Arrow Connector 13"/>
        <xdr:cNvCxnSpPr/>
      </xdr:nvCxnSpPr>
      <xdr:spPr>
        <a:xfrm>
          <a:off x="190500" y="2301240"/>
          <a:ext cx="678180" cy="1588"/>
        </a:xfrm>
        <a:prstGeom prst="straightConnector1">
          <a:avLst/>
        </a:prstGeom>
        <a:ln>
          <a:solidFill>
            <a:srgbClr val="7030A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495300</xdr:colOff>
      <xdr:row>1</xdr:row>
      <xdr:rowOff>167640</xdr:rowOff>
    </xdr:from>
    <xdr:to>
      <xdr:col>1</xdr:col>
      <xdr:colOff>1470660</xdr:colOff>
      <xdr:row>6</xdr:row>
      <xdr:rowOff>83820</xdr:rowOff>
    </xdr:to>
    <xdr:cxnSp macro="">
      <xdr:nvCxnSpPr>
        <xdr:cNvPr id="16" name="Straight Arrow Connector 15"/>
        <xdr:cNvCxnSpPr/>
      </xdr:nvCxnSpPr>
      <xdr:spPr>
        <a:xfrm>
          <a:off x="495300" y="350520"/>
          <a:ext cx="2133600" cy="830580"/>
        </a:xfrm>
        <a:prstGeom prst="straightConnector1">
          <a:avLst/>
        </a:prstGeom>
        <a:ln>
          <a:solidFill>
            <a:srgbClr val="00B05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434340</xdr:colOff>
      <xdr:row>2</xdr:row>
      <xdr:rowOff>54134</xdr:rowOff>
    </xdr:from>
    <xdr:to>
      <xdr:col>2</xdr:col>
      <xdr:colOff>442754</xdr:colOff>
      <xdr:row>5</xdr:row>
      <xdr:rowOff>121920</xdr:rowOff>
    </xdr:to>
    <xdr:cxnSp macro="">
      <xdr:nvCxnSpPr>
        <xdr:cNvPr id="18" name="Straight Arrow Connector 17"/>
        <xdr:cNvCxnSpPr/>
      </xdr:nvCxnSpPr>
      <xdr:spPr>
        <a:xfrm rot="5400000">
          <a:off x="2774474" y="723900"/>
          <a:ext cx="616426" cy="8414"/>
        </a:xfrm>
        <a:prstGeom prst="straightConnector1">
          <a:avLst/>
        </a:prstGeom>
        <a:ln>
          <a:solidFill>
            <a:srgbClr val="00B05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183674</xdr:colOff>
      <xdr:row>14</xdr:row>
      <xdr:rowOff>99060</xdr:rowOff>
    </xdr:from>
    <xdr:to>
      <xdr:col>0</xdr:col>
      <xdr:colOff>883920</xdr:colOff>
      <xdr:row>14</xdr:row>
      <xdr:rowOff>99854</xdr:rowOff>
    </xdr:to>
    <xdr:cxnSp macro="">
      <xdr:nvCxnSpPr>
        <xdr:cNvPr id="24" name="Straight Arrow Connector 23"/>
        <xdr:cNvCxnSpPr/>
      </xdr:nvCxnSpPr>
      <xdr:spPr>
        <a:xfrm flipV="1">
          <a:off x="183674" y="2476500"/>
          <a:ext cx="700246" cy="794"/>
        </a:xfrm>
        <a:prstGeom prst="straightConnector1">
          <a:avLst/>
        </a:prstGeom>
        <a:ln>
          <a:solidFill>
            <a:srgbClr val="00B05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518160</xdr:colOff>
      <xdr:row>2</xdr:row>
      <xdr:rowOff>45720</xdr:rowOff>
    </xdr:from>
    <xdr:to>
      <xdr:col>2</xdr:col>
      <xdr:colOff>30480</xdr:colOff>
      <xdr:row>6</xdr:row>
      <xdr:rowOff>45720</xdr:rowOff>
    </xdr:to>
    <xdr:cxnSp macro="">
      <xdr:nvCxnSpPr>
        <xdr:cNvPr id="27" name="Straight Arrow Connector 26"/>
        <xdr:cNvCxnSpPr/>
      </xdr:nvCxnSpPr>
      <xdr:spPr>
        <a:xfrm flipV="1">
          <a:off x="518160" y="411480"/>
          <a:ext cx="2156460" cy="731520"/>
        </a:xfrm>
        <a:prstGeom prst="straightConnector1">
          <a:avLst/>
        </a:prstGeom>
        <a:ln>
          <a:solidFill>
            <a:schemeClr val="accent6"/>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175260</xdr:colOff>
      <xdr:row>15</xdr:row>
      <xdr:rowOff>106680</xdr:rowOff>
    </xdr:from>
    <xdr:to>
      <xdr:col>0</xdr:col>
      <xdr:colOff>830580</xdr:colOff>
      <xdr:row>15</xdr:row>
      <xdr:rowOff>114300</xdr:rowOff>
    </xdr:to>
    <xdr:cxnSp macro="">
      <xdr:nvCxnSpPr>
        <xdr:cNvPr id="29" name="Straight Arrow Connector 28"/>
        <xdr:cNvCxnSpPr/>
      </xdr:nvCxnSpPr>
      <xdr:spPr>
        <a:xfrm flipV="1">
          <a:off x="175260" y="2849880"/>
          <a:ext cx="655320" cy="7620"/>
        </a:xfrm>
        <a:prstGeom prst="straightConnector1">
          <a:avLst/>
        </a:prstGeom>
        <a:ln>
          <a:solidFill>
            <a:schemeClr val="accent6"/>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llyremote.xh1.lilly.com/Users/hooligian/Desktop/Downloads/column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umn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E21"/>
  <sheetViews>
    <sheetView workbookViewId="0">
      <selection activeCell="A5" sqref="A5"/>
    </sheetView>
  </sheetViews>
  <sheetFormatPr defaultRowHeight="14.4" x14ac:dyDescent="0.3"/>
  <cols>
    <col min="1" max="1" width="16.88671875" customWidth="1"/>
    <col min="2" max="2" width="21.6640625" style="6" customWidth="1"/>
    <col min="3" max="3" width="22.33203125" customWidth="1"/>
    <col min="4" max="4" width="21.5546875" style="6" customWidth="1"/>
    <col min="5" max="5" width="26.44140625" customWidth="1"/>
  </cols>
  <sheetData>
    <row r="2" spans="1:5" x14ac:dyDescent="0.25">
      <c r="A2" t="s">
        <v>64</v>
      </c>
      <c r="B2" s="5" t="s">
        <v>65</v>
      </c>
      <c r="C2" t="s">
        <v>66</v>
      </c>
      <c r="D2" s="5" t="s">
        <v>65</v>
      </c>
      <c r="E2" t="s">
        <v>2</v>
      </c>
    </row>
    <row r="3" spans="1:5" x14ac:dyDescent="0.25">
      <c r="B3" s="5"/>
      <c r="D3" s="5"/>
    </row>
    <row r="4" spans="1:5" x14ac:dyDescent="0.25">
      <c r="B4" s="5"/>
      <c r="D4" s="5"/>
    </row>
    <row r="7" spans="1:5" x14ac:dyDescent="0.25">
      <c r="A7" t="s">
        <v>67</v>
      </c>
      <c r="B7" s="5" t="s">
        <v>68</v>
      </c>
      <c r="C7" t="s">
        <v>69</v>
      </c>
      <c r="D7" s="5" t="s">
        <v>68</v>
      </c>
      <c r="E7" t="s">
        <v>2</v>
      </c>
    </row>
    <row r="10" spans="1:5" x14ac:dyDescent="0.25">
      <c r="B10" s="7" t="s">
        <v>70</v>
      </c>
    </row>
    <row r="11" spans="1:5" x14ac:dyDescent="0.25">
      <c r="A11" s="5" t="s">
        <v>65</v>
      </c>
      <c r="B11" s="7" t="s">
        <v>71</v>
      </c>
    </row>
    <row r="12" spans="1:5" x14ac:dyDescent="0.25">
      <c r="A12" s="5" t="s">
        <v>68</v>
      </c>
      <c r="B12" s="7" t="s">
        <v>75</v>
      </c>
    </row>
    <row r="13" spans="1:5" x14ac:dyDescent="0.25">
      <c r="A13" s="7"/>
      <c r="B13" s="7" t="s">
        <v>72</v>
      </c>
    </row>
    <row r="14" spans="1:5" x14ac:dyDescent="0.25">
      <c r="B14" s="7" t="s">
        <v>73</v>
      </c>
    </row>
    <row r="15" spans="1:5" x14ac:dyDescent="0.25">
      <c r="B15" s="7" t="s">
        <v>74</v>
      </c>
    </row>
    <row r="16" spans="1:5" x14ac:dyDescent="0.3">
      <c r="B16" s="7" t="s">
        <v>76</v>
      </c>
    </row>
    <row r="17" spans="2:2" x14ac:dyDescent="0.3">
      <c r="B17" s="7"/>
    </row>
    <row r="18" spans="2:2" x14ac:dyDescent="0.3">
      <c r="B18" s="7"/>
    </row>
    <row r="19" spans="2:2" x14ac:dyDescent="0.3">
      <c r="B19" s="7"/>
    </row>
    <row r="20" spans="2:2" x14ac:dyDescent="0.3">
      <c r="B20" s="7"/>
    </row>
    <row r="21" spans="2:2" x14ac:dyDescent="0.3">
      <c r="B21" s="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4:G64"/>
  <sheetViews>
    <sheetView zoomScale="70" zoomScaleNormal="70" workbookViewId="0">
      <pane ySplit="4" topLeftCell="A5" activePane="bottomLeft" state="frozen"/>
      <selection activeCell="A5" sqref="A5"/>
      <selection pane="bottomLeft" activeCell="A5" sqref="A5"/>
    </sheetView>
  </sheetViews>
  <sheetFormatPr defaultColWidth="8.88671875" defaultRowHeight="13.8" x14ac:dyDescent="0.3"/>
  <cols>
    <col min="1" max="1" width="18.5546875" style="1" customWidth="1"/>
    <col min="2" max="2" width="10.5546875" style="1" customWidth="1"/>
    <col min="3" max="3" width="24.33203125" style="1" customWidth="1"/>
    <col min="4" max="5" width="24.33203125" style="2" customWidth="1"/>
    <col min="6" max="6" width="30.5546875" style="2" bestFit="1" customWidth="1"/>
    <col min="7" max="10" width="24.33203125" style="1" customWidth="1"/>
    <col min="11" max="16384" width="8.88671875" style="1"/>
  </cols>
  <sheetData>
    <row r="4" spans="1:7" ht="12.75" x14ac:dyDescent="0.2">
      <c r="A4" s="4" t="s">
        <v>31</v>
      </c>
      <c r="B4" s="4" t="s">
        <v>2</v>
      </c>
      <c r="C4" s="4" t="s">
        <v>3</v>
      </c>
      <c r="D4" s="3" t="s">
        <v>4</v>
      </c>
      <c r="E4" s="3" t="s">
        <v>23</v>
      </c>
      <c r="F4" s="3" t="s">
        <v>0</v>
      </c>
      <c r="G4" s="4" t="s">
        <v>1</v>
      </c>
    </row>
    <row r="5" spans="1:7" ht="12.75" x14ac:dyDescent="0.2">
      <c r="A5" s="1" t="s">
        <v>30</v>
      </c>
      <c r="B5" s="1" t="s">
        <v>5</v>
      </c>
      <c r="C5" s="1" t="s">
        <v>6</v>
      </c>
      <c r="D5" s="2" t="s">
        <v>24</v>
      </c>
      <c r="E5" s="2" t="str">
        <f>D5&amp;"."&amp;C5</f>
        <v>ANAL.MPL.SUBNO</v>
      </c>
    </row>
    <row r="6" spans="1:7" ht="12.75" x14ac:dyDescent="0.2">
      <c r="A6" s="1" t="s">
        <v>30</v>
      </c>
      <c r="B6" s="1" t="s">
        <v>5</v>
      </c>
      <c r="C6" s="1" t="s">
        <v>7</v>
      </c>
      <c r="D6" s="2" t="s">
        <v>24</v>
      </c>
      <c r="E6" s="2" t="str">
        <f t="shared" ref="E6:E30" si="0">D6&amp;"."&amp;C6</f>
        <v>ANAL.MPL.TRT</v>
      </c>
    </row>
    <row r="7" spans="1:7" ht="12.75" x14ac:dyDescent="0.2">
      <c r="A7" s="1" t="s">
        <v>30</v>
      </c>
      <c r="B7" s="1" t="s">
        <v>5</v>
      </c>
      <c r="C7" s="1" t="s">
        <v>8</v>
      </c>
      <c r="D7" s="2" t="s">
        <v>26</v>
      </c>
      <c r="E7" s="2" t="str">
        <f t="shared" si="0"/>
        <v>RAW.DEMOG.DEMOGDT</v>
      </c>
    </row>
    <row r="8" spans="1:7" ht="12.75" x14ac:dyDescent="0.2">
      <c r="A8" s="1" t="s">
        <v>30</v>
      </c>
      <c r="B8" s="1" t="s">
        <v>5</v>
      </c>
      <c r="C8" s="1" t="s">
        <v>9</v>
      </c>
      <c r="D8" s="2" t="s">
        <v>28</v>
      </c>
      <c r="F8" s="2" t="s">
        <v>29</v>
      </c>
      <c r="G8" s="1" t="s">
        <v>27</v>
      </c>
    </row>
    <row r="9" spans="1:7" ht="12.75" x14ac:dyDescent="0.2">
      <c r="A9" s="1" t="s">
        <v>30</v>
      </c>
      <c r="B9" s="1" t="s">
        <v>5</v>
      </c>
      <c r="C9" s="1" t="s">
        <v>10</v>
      </c>
      <c r="D9" s="2" t="s">
        <v>26</v>
      </c>
      <c r="E9" s="2" t="str">
        <f t="shared" si="0"/>
        <v>RAW.DEMOG.BIRTHDT</v>
      </c>
    </row>
    <row r="10" spans="1:7" ht="12.75" x14ac:dyDescent="0.2">
      <c r="A10" s="1" t="s">
        <v>30</v>
      </c>
      <c r="B10" s="1" t="s">
        <v>5</v>
      </c>
      <c r="C10" s="1" t="s">
        <v>11</v>
      </c>
      <c r="D10" s="2" t="s">
        <v>24</v>
      </c>
      <c r="E10" s="2" t="str">
        <f t="shared" si="0"/>
        <v>ANAL.MPL.AGE</v>
      </c>
    </row>
    <row r="11" spans="1:7" ht="12.75" x14ac:dyDescent="0.2">
      <c r="A11" s="1" t="s">
        <v>30</v>
      </c>
      <c r="B11" s="1" t="s">
        <v>5</v>
      </c>
      <c r="C11" s="1" t="s">
        <v>12</v>
      </c>
      <c r="D11" s="2" t="s">
        <v>24</v>
      </c>
      <c r="F11" s="2" t="s">
        <v>51</v>
      </c>
      <c r="G11" s="1" t="s">
        <v>52</v>
      </c>
    </row>
    <row r="12" spans="1:7" ht="12.75" x14ac:dyDescent="0.2">
      <c r="A12" s="1" t="s">
        <v>30</v>
      </c>
      <c r="B12" s="1" t="s">
        <v>5</v>
      </c>
      <c r="C12" s="1" t="s">
        <v>13</v>
      </c>
      <c r="D12" s="2" t="s">
        <v>24</v>
      </c>
      <c r="E12" s="2" t="str">
        <f t="shared" si="0"/>
        <v>ANAL.MPL.ETHNIC</v>
      </c>
    </row>
    <row r="13" spans="1:7" ht="12.75" x14ac:dyDescent="0.2">
      <c r="A13" s="1" t="s">
        <v>30</v>
      </c>
      <c r="B13" s="1" t="s">
        <v>5</v>
      </c>
      <c r="C13" s="1" t="s">
        <v>14</v>
      </c>
      <c r="D13" s="2" t="s">
        <v>24</v>
      </c>
      <c r="E13" s="2" t="str">
        <f t="shared" si="0"/>
        <v>ANAL.MPL.RACE1</v>
      </c>
    </row>
    <row r="14" spans="1:7" ht="12.75" x14ac:dyDescent="0.2">
      <c r="A14" s="1" t="s">
        <v>30</v>
      </c>
      <c r="B14" s="1" t="s">
        <v>5</v>
      </c>
      <c r="C14" s="1" t="s">
        <v>15</v>
      </c>
      <c r="D14" s="2" t="s">
        <v>24</v>
      </c>
      <c r="E14" s="2" t="str">
        <f t="shared" si="0"/>
        <v>ANAL.MPL.RACE2</v>
      </c>
    </row>
    <row r="15" spans="1:7" ht="12.75" x14ac:dyDescent="0.2">
      <c r="A15" s="1" t="s">
        <v>30</v>
      </c>
      <c r="B15" s="1" t="s">
        <v>5</v>
      </c>
      <c r="C15" s="1" t="s">
        <v>16</v>
      </c>
      <c r="D15" s="2" t="s">
        <v>24</v>
      </c>
      <c r="E15" s="2" t="str">
        <f t="shared" si="0"/>
        <v>ANAL.MPL.RACE3</v>
      </c>
    </row>
    <row r="16" spans="1:7" ht="12.75" x14ac:dyDescent="0.2">
      <c r="A16" s="1" t="s">
        <v>30</v>
      </c>
      <c r="B16" s="1" t="s">
        <v>5</v>
      </c>
      <c r="C16" s="1" t="s">
        <v>17</v>
      </c>
      <c r="D16" s="2" t="s">
        <v>24</v>
      </c>
      <c r="E16" s="2" t="str">
        <f t="shared" si="0"/>
        <v>ANAL.MPL.RACE4</v>
      </c>
    </row>
    <row r="17" spans="1:7" ht="12.75" x14ac:dyDescent="0.2">
      <c r="A17" s="1" t="s">
        <v>30</v>
      </c>
      <c r="B17" s="1" t="s">
        <v>5</v>
      </c>
      <c r="C17" s="1" t="s">
        <v>18</v>
      </c>
      <c r="D17" s="2" t="s">
        <v>24</v>
      </c>
      <c r="E17" s="2" t="str">
        <f t="shared" si="0"/>
        <v>ANAL.MPL.RACE5</v>
      </c>
    </row>
    <row r="18" spans="1:7" ht="12.75" x14ac:dyDescent="0.2">
      <c r="A18" s="1" t="s">
        <v>30</v>
      </c>
      <c r="B18" s="1" t="s">
        <v>5</v>
      </c>
      <c r="C18" s="1" t="s">
        <v>19</v>
      </c>
      <c r="D18" s="2" t="s">
        <v>24</v>
      </c>
      <c r="E18" s="2" t="str">
        <f t="shared" si="0"/>
        <v>ANAL.MPL.WEIGHT</v>
      </c>
    </row>
    <row r="19" spans="1:7" ht="12.75" x14ac:dyDescent="0.2">
      <c r="A19" s="1" t="s">
        <v>30</v>
      </c>
      <c r="B19" s="1" t="s">
        <v>20</v>
      </c>
      <c r="C19" s="1" t="s">
        <v>11</v>
      </c>
      <c r="D19" s="2" t="s">
        <v>24</v>
      </c>
      <c r="E19" s="2" t="str">
        <f t="shared" si="0"/>
        <v>ANAL.MPL.AGE</v>
      </c>
    </row>
    <row r="20" spans="1:7" ht="12.75" x14ac:dyDescent="0.2">
      <c r="A20" s="1" t="s">
        <v>30</v>
      </c>
      <c r="B20" s="1" t="s">
        <v>20</v>
      </c>
      <c r="C20" s="1" t="s">
        <v>21</v>
      </c>
      <c r="D20" s="2" t="s">
        <v>24</v>
      </c>
      <c r="F20" s="2" t="s">
        <v>11</v>
      </c>
      <c r="G20" s="1" t="s">
        <v>25</v>
      </c>
    </row>
    <row r="21" spans="1:7" ht="12.75" x14ac:dyDescent="0.2">
      <c r="A21" s="1" t="s">
        <v>30</v>
      </c>
      <c r="B21" s="1" t="s">
        <v>20</v>
      </c>
      <c r="C21" s="1" t="s">
        <v>12</v>
      </c>
      <c r="D21" s="2" t="s">
        <v>24</v>
      </c>
      <c r="E21" s="2" t="str">
        <f t="shared" si="0"/>
        <v>ANAL.MPL.SEX</v>
      </c>
    </row>
    <row r="22" spans="1:7" ht="12.75" x14ac:dyDescent="0.2">
      <c r="A22" s="1" t="s">
        <v>30</v>
      </c>
      <c r="B22" s="1" t="s">
        <v>20</v>
      </c>
      <c r="C22" s="1" t="s">
        <v>13</v>
      </c>
      <c r="D22" s="2" t="s">
        <v>24</v>
      </c>
      <c r="E22" s="2" t="str">
        <f t="shared" si="0"/>
        <v>ANAL.MPL.ETHNIC</v>
      </c>
    </row>
    <row r="23" spans="1:7" ht="12.75" x14ac:dyDescent="0.2">
      <c r="A23" s="1" t="s">
        <v>30</v>
      </c>
      <c r="B23" s="1" t="s">
        <v>20</v>
      </c>
      <c r="C23" s="1" t="s">
        <v>22</v>
      </c>
      <c r="D23" s="2" t="s">
        <v>24</v>
      </c>
      <c r="E23" s="2" t="str">
        <f t="shared" si="0"/>
        <v>ANAL.MPL.RACE</v>
      </c>
    </row>
    <row r="24" spans="1:7" ht="12.75" x14ac:dyDescent="0.2">
      <c r="A24" s="1" t="s">
        <v>30</v>
      </c>
      <c r="B24" s="1" t="s">
        <v>20</v>
      </c>
      <c r="C24" s="1" t="s">
        <v>14</v>
      </c>
      <c r="D24" s="2" t="s">
        <v>24</v>
      </c>
      <c r="E24" s="2" t="str">
        <f t="shared" si="0"/>
        <v>ANAL.MPL.RACE1</v>
      </c>
    </row>
    <row r="25" spans="1:7" ht="12.75" x14ac:dyDescent="0.2">
      <c r="A25" s="1" t="s">
        <v>30</v>
      </c>
      <c r="B25" s="1" t="s">
        <v>20</v>
      </c>
      <c r="C25" s="1" t="s">
        <v>15</v>
      </c>
      <c r="D25" s="2" t="s">
        <v>24</v>
      </c>
      <c r="E25" s="2" t="str">
        <f t="shared" si="0"/>
        <v>ANAL.MPL.RACE2</v>
      </c>
    </row>
    <row r="26" spans="1:7" ht="12.75" x14ac:dyDescent="0.2">
      <c r="A26" s="1" t="s">
        <v>30</v>
      </c>
      <c r="B26" s="1" t="s">
        <v>20</v>
      </c>
      <c r="C26" s="1" t="s">
        <v>16</v>
      </c>
      <c r="D26" s="2" t="s">
        <v>24</v>
      </c>
      <c r="E26" s="2" t="str">
        <f t="shared" si="0"/>
        <v>ANAL.MPL.RACE3</v>
      </c>
    </row>
    <row r="27" spans="1:7" ht="12.75" x14ac:dyDescent="0.2">
      <c r="A27" s="1" t="s">
        <v>30</v>
      </c>
      <c r="B27" s="1" t="s">
        <v>20</v>
      </c>
      <c r="C27" s="1" t="s">
        <v>17</v>
      </c>
      <c r="D27" s="2" t="s">
        <v>24</v>
      </c>
      <c r="E27" s="2" t="str">
        <f t="shared" si="0"/>
        <v>ANAL.MPL.RACE4</v>
      </c>
    </row>
    <row r="28" spans="1:7" ht="12.75" x14ac:dyDescent="0.2">
      <c r="A28" s="1" t="s">
        <v>30</v>
      </c>
      <c r="B28" s="1" t="s">
        <v>20</v>
      </c>
      <c r="C28" s="1" t="s">
        <v>18</v>
      </c>
      <c r="D28" s="2" t="s">
        <v>24</v>
      </c>
      <c r="E28" s="2" t="str">
        <f t="shared" si="0"/>
        <v>ANAL.MPL.RACE5</v>
      </c>
    </row>
    <row r="29" spans="1:7" x14ac:dyDescent="0.3">
      <c r="A29" s="1" t="s">
        <v>30</v>
      </c>
      <c r="B29" s="1" t="s">
        <v>20</v>
      </c>
      <c r="C29" s="1" t="s">
        <v>19</v>
      </c>
      <c r="D29" s="2" t="s">
        <v>24</v>
      </c>
      <c r="E29" s="2" t="str">
        <f t="shared" si="0"/>
        <v>ANAL.MPL.WEIGHT</v>
      </c>
    </row>
    <row r="30" spans="1:7" x14ac:dyDescent="0.3">
      <c r="A30" s="1" t="s">
        <v>30</v>
      </c>
      <c r="B30" s="1" t="s">
        <v>20</v>
      </c>
      <c r="C30" s="1" t="s">
        <v>53</v>
      </c>
      <c r="D30" s="2" t="s">
        <v>24</v>
      </c>
      <c r="E30" s="2" t="str">
        <f t="shared" si="0"/>
        <v>ANAL.MPL.ITT</v>
      </c>
    </row>
    <row r="31" spans="1:7" x14ac:dyDescent="0.3">
      <c r="A31" s="1" t="s">
        <v>58</v>
      </c>
      <c r="B31" s="1" t="s">
        <v>32</v>
      </c>
      <c r="C31" s="1" t="s">
        <v>7</v>
      </c>
      <c r="D31" s="2" t="s">
        <v>24</v>
      </c>
      <c r="E31" s="2" t="str">
        <f>D31&amp;"."&amp;C31</f>
        <v>ANAL.MPL.TRT</v>
      </c>
    </row>
    <row r="32" spans="1:7" x14ac:dyDescent="0.3">
      <c r="A32" s="1" t="s">
        <v>58</v>
      </c>
      <c r="B32" s="1" t="s">
        <v>32</v>
      </c>
      <c r="C32" s="1" t="s">
        <v>6</v>
      </c>
      <c r="D32" s="2" t="s">
        <v>24</v>
      </c>
      <c r="E32" s="2" t="str">
        <f>D32&amp;"."&amp;C32</f>
        <v>ANAL.MPL.SUBNO</v>
      </c>
    </row>
    <row r="33" spans="1:7" x14ac:dyDescent="0.3">
      <c r="A33" s="1" t="s">
        <v>58</v>
      </c>
      <c r="B33" s="1" t="s">
        <v>32</v>
      </c>
      <c r="C33" s="1" t="s">
        <v>33</v>
      </c>
      <c r="D33" s="2" t="s">
        <v>24</v>
      </c>
      <c r="F33" s="2" t="s">
        <v>49</v>
      </c>
      <c r="G33" s="1" t="s">
        <v>63</v>
      </c>
    </row>
    <row r="34" spans="1:7" x14ac:dyDescent="0.3">
      <c r="A34" s="1" t="s">
        <v>58</v>
      </c>
      <c r="B34" s="1" t="s">
        <v>32</v>
      </c>
      <c r="C34" s="1" t="s">
        <v>34</v>
      </c>
      <c r="D34" s="2" t="s">
        <v>24</v>
      </c>
      <c r="E34" s="2" t="s">
        <v>48</v>
      </c>
    </row>
    <row r="35" spans="1:7" x14ac:dyDescent="0.3">
      <c r="A35" s="1" t="s">
        <v>58</v>
      </c>
      <c r="B35" s="1" t="s">
        <v>32</v>
      </c>
      <c r="C35" s="1" t="s">
        <v>35</v>
      </c>
      <c r="D35" s="2" t="s">
        <v>41</v>
      </c>
      <c r="F35" s="2" t="s">
        <v>44</v>
      </c>
      <c r="G35" s="1" t="s">
        <v>42</v>
      </c>
    </row>
    <row r="36" spans="1:7" x14ac:dyDescent="0.3">
      <c r="A36" s="1" t="s">
        <v>58</v>
      </c>
      <c r="B36" s="1" t="s">
        <v>32</v>
      </c>
      <c r="C36" s="1" t="s">
        <v>36</v>
      </c>
      <c r="D36" s="2" t="s">
        <v>24</v>
      </c>
      <c r="F36" s="2" t="s">
        <v>43</v>
      </c>
      <c r="G36" s="1" t="s">
        <v>45</v>
      </c>
    </row>
    <row r="37" spans="1:7" x14ac:dyDescent="0.3">
      <c r="A37" s="1" t="s">
        <v>58</v>
      </c>
      <c r="B37" s="1" t="s">
        <v>32</v>
      </c>
      <c r="C37" s="1" t="s">
        <v>37</v>
      </c>
      <c r="D37" s="2" t="s">
        <v>24</v>
      </c>
      <c r="F37" s="2" t="s">
        <v>46</v>
      </c>
      <c r="G37" s="1" t="s">
        <v>45</v>
      </c>
    </row>
    <row r="38" spans="1:7" x14ac:dyDescent="0.3">
      <c r="A38" s="1" t="s">
        <v>58</v>
      </c>
      <c r="B38" s="1" t="s">
        <v>32</v>
      </c>
      <c r="C38" s="1" t="s">
        <v>38</v>
      </c>
      <c r="D38" s="2" t="s">
        <v>24</v>
      </c>
      <c r="E38" s="2" t="s">
        <v>50</v>
      </c>
    </row>
    <row r="39" spans="1:7" x14ac:dyDescent="0.3">
      <c r="A39" s="1" t="s">
        <v>58</v>
      </c>
      <c r="B39" s="1" t="s">
        <v>32</v>
      </c>
      <c r="C39" s="1" t="s">
        <v>39</v>
      </c>
      <c r="D39" s="2" t="s">
        <v>24</v>
      </c>
      <c r="F39" s="2" t="s">
        <v>54</v>
      </c>
      <c r="G39" s="1" t="s">
        <v>55</v>
      </c>
    </row>
    <row r="40" spans="1:7" x14ac:dyDescent="0.3">
      <c r="A40" s="1" t="s">
        <v>58</v>
      </c>
      <c r="B40" s="1" t="s">
        <v>32</v>
      </c>
      <c r="C40" s="1" t="s">
        <v>40</v>
      </c>
      <c r="D40" s="2" t="s">
        <v>24</v>
      </c>
      <c r="F40" s="2" t="s">
        <v>56</v>
      </c>
      <c r="G40" s="1" t="s">
        <v>57</v>
      </c>
    </row>
    <row r="41" spans="1:7" x14ac:dyDescent="0.3">
      <c r="A41" s="1" t="s">
        <v>58</v>
      </c>
      <c r="B41" s="1" t="s">
        <v>59</v>
      </c>
      <c r="C41" s="1" t="s">
        <v>33</v>
      </c>
      <c r="D41" s="2" t="s">
        <v>24</v>
      </c>
      <c r="F41" s="2" t="s">
        <v>49</v>
      </c>
      <c r="G41" s="1" t="s">
        <v>47</v>
      </c>
    </row>
    <row r="42" spans="1:7" x14ac:dyDescent="0.3">
      <c r="A42" s="1" t="s">
        <v>58</v>
      </c>
      <c r="B42" s="1" t="s">
        <v>59</v>
      </c>
      <c r="C42" s="1" t="s">
        <v>39</v>
      </c>
      <c r="D42" s="2" t="s">
        <v>24</v>
      </c>
      <c r="F42" s="2" t="s">
        <v>54</v>
      </c>
      <c r="G42" s="1" t="s">
        <v>55</v>
      </c>
    </row>
    <row r="43" spans="1:7" x14ac:dyDescent="0.3">
      <c r="A43" s="1" t="s">
        <v>58</v>
      </c>
      <c r="B43" s="1" t="s">
        <v>59</v>
      </c>
      <c r="C43" s="1" t="s">
        <v>40</v>
      </c>
      <c r="D43" s="2" t="s">
        <v>24</v>
      </c>
      <c r="F43" s="2" t="s">
        <v>56</v>
      </c>
      <c r="G43" s="1" t="s">
        <v>57</v>
      </c>
    </row>
    <row r="44" spans="1:7" x14ac:dyDescent="0.3">
      <c r="A44" s="1" t="s">
        <v>58</v>
      </c>
      <c r="B44" s="1" t="s">
        <v>59</v>
      </c>
      <c r="C44" s="1" t="s">
        <v>60</v>
      </c>
      <c r="D44" s="2" t="s">
        <v>24</v>
      </c>
      <c r="F44" s="2" t="s">
        <v>61</v>
      </c>
      <c r="G44" s="1" t="s">
        <v>62</v>
      </c>
    </row>
    <row r="45" spans="1:7" x14ac:dyDescent="0.3">
      <c r="A45" s="1" t="s">
        <v>58</v>
      </c>
      <c r="B45" s="1" t="s">
        <v>59</v>
      </c>
      <c r="C45" s="1" t="s">
        <v>53</v>
      </c>
      <c r="D45" s="2" t="s">
        <v>24</v>
      </c>
      <c r="E45" s="2" t="s">
        <v>121</v>
      </c>
    </row>
    <row r="46" spans="1:7" x14ac:dyDescent="0.3">
      <c r="A46" s="1" t="s">
        <v>81</v>
      </c>
      <c r="B46" s="1" t="s">
        <v>82</v>
      </c>
      <c r="C46" s="1" t="s">
        <v>83</v>
      </c>
      <c r="D46" s="2" t="s">
        <v>126</v>
      </c>
      <c r="F46" s="2" t="s">
        <v>124</v>
      </c>
      <c r="G46" s="1" t="s">
        <v>125</v>
      </c>
    </row>
    <row r="47" spans="1:7" ht="27.6" x14ac:dyDescent="0.3">
      <c r="A47" s="1" t="s">
        <v>81</v>
      </c>
      <c r="B47" s="1" t="s">
        <v>82</v>
      </c>
      <c r="C47" s="1" t="s">
        <v>84</v>
      </c>
      <c r="D47" s="2" t="s">
        <v>133</v>
      </c>
      <c r="F47" s="2" t="s">
        <v>131</v>
      </c>
      <c r="G47" s="1" t="s">
        <v>129</v>
      </c>
    </row>
    <row r="48" spans="1:7" ht="27.6" x14ac:dyDescent="0.3">
      <c r="A48" s="1" t="s">
        <v>81</v>
      </c>
      <c r="B48" s="1" t="s">
        <v>82</v>
      </c>
      <c r="C48" s="1" t="s">
        <v>85</v>
      </c>
      <c r="D48" s="2" t="s">
        <v>134</v>
      </c>
      <c r="F48" s="2" t="s">
        <v>132</v>
      </c>
      <c r="G48" s="1" t="s">
        <v>130</v>
      </c>
    </row>
    <row r="49" spans="1:7" x14ac:dyDescent="0.3">
      <c r="A49" s="1" t="s">
        <v>81</v>
      </c>
      <c r="B49" s="1" t="s">
        <v>82</v>
      </c>
      <c r="C49" s="1" t="s">
        <v>86</v>
      </c>
      <c r="F49" s="2" t="s">
        <v>127</v>
      </c>
      <c r="G49" s="1" t="s">
        <v>128</v>
      </c>
    </row>
    <row r="50" spans="1:7" x14ac:dyDescent="0.3">
      <c r="A50" s="1" t="s">
        <v>81</v>
      </c>
      <c r="B50" s="1" t="s">
        <v>82</v>
      </c>
      <c r="C50" s="1" t="s">
        <v>7</v>
      </c>
      <c r="D50" s="2" t="s">
        <v>24</v>
      </c>
      <c r="E50" s="2" t="s">
        <v>123</v>
      </c>
    </row>
    <row r="51" spans="1:7" x14ac:dyDescent="0.3">
      <c r="A51" s="1" t="s">
        <v>81</v>
      </c>
      <c r="B51" s="1" t="s">
        <v>98</v>
      </c>
      <c r="C51" s="1" t="s">
        <v>7</v>
      </c>
      <c r="D51" s="2" t="s">
        <v>24</v>
      </c>
      <c r="E51" s="2" t="s">
        <v>123</v>
      </c>
    </row>
    <row r="52" spans="1:7" x14ac:dyDescent="0.3">
      <c r="A52" s="1" t="s">
        <v>81</v>
      </c>
      <c r="B52" s="1" t="s">
        <v>98</v>
      </c>
      <c r="C52" s="1" t="s">
        <v>6</v>
      </c>
      <c r="D52" s="2" t="s">
        <v>24</v>
      </c>
      <c r="E52" s="2" t="s">
        <v>122</v>
      </c>
    </row>
    <row r="53" spans="1:7" x14ac:dyDescent="0.3">
      <c r="A53" s="1" t="s">
        <v>81</v>
      </c>
      <c r="B53" s="1" t="s">
        <v>98</v>
      </c>
      <c r="C53" s="1" t="s">
        <v>53</v>
      </c>
      <c r="D53" s="2" t="s">
        <v>24</v>
      </c>
      <c r="E53" s="2" t="s">
        <v>121</v>
      </c>
    </row>
    <row r="54" spans="1:7" x14ac:dyDescent="0.3">
      <c r="A54" s="1" t="s">
        <v>81</v>
      </c>
      <c r="B54" s="1" t="s">
        <v>98</v>
      </c>
      <c r="C54" s="1" t="s">
        <v>87</v>
      </c>
      <c r="D54" s="2" t="s">
        <v>119</v>
      </c>
      <c r="F54" s="2" t="s">
        <v>87</v>
      </c>
      <c r="G54" s="1" t="s">
        <v>120</v>
      </c>
    </row>
    <row r="55" spans="1:7" ht="27.6" x14ac:dyDescent="0.3">
      <c r="A55" s="1" t="s">
        <v>81</v>
      </c>
      <c r="B55" s="1" t="s">
        <v>98</v>
      </c>
      <c r="C55" s="1" t="s">
        <v>88</v>
      </c>
      <c r="D55" s="2" t="s">
        <v>104</v>
      </c>
      <c r="F55" s="2" t="s">
        <v>99</v>
      </c>
      <c r="G55" s="1" t="s">
        <v>100</v>
      </c>
    </row>
    <row r="56" spans="1:7" ht="27.6" x14ac:dyDescent="0.3">
      <c r="A56" s="1" t="s">
        <v>81</v>
      </c>
      <c r="B56" s="1" t="s">
        <v>98</v>
      </c>
      <c r="C56" s="1" t="s">
        <v>89</v>
      </c>
      <c r="D56" s="2" t="s">
        <v>104</v>
      </c>
      <c r="F56" s="2" t="s">
        <v>101</v>
      </c>
      <c r="G56" s="1" t="s">
        <v>102</v>
      </c>
    </row>
    <row r="57" spans="1:7" x14ac:dyDescent="0.3">
      <c r="A57" s="1" t="s">
        <v>81</v>
      </c>
      <c r="B57" s="1" t="s">
        <v>98</v>
      </c>
      <c r="C57" s="1" t="s">
        <v>90</v>
      </c>
      <c r="D57" s="2" t="s">
        <v>107</v>
      </c>
      <c r="F57" s="2" t="s">
        <v>108</v>
      </c>
      <c r="G57" s="1" t="s">
        <v>109</v>
      </c>
    </row>
    <row r="58" spans="1:7" x14ac:dyDescent="0.3">
      <c r="A58" s="1" t="s">
        <v>81</v>
      </c>
      <c r="B58" s="1" t="s">
        <v>98</v>
      </c>
      <c r="C58" s="1" t="s">
        <v>91</v>
      </c>
      <c r="D58" s="2" t="s">
        <v>107</v>
      </c>
      <c r="E58" s="2" t="s">
        <v>112</v>
      </c>
    </row>
    <row r="59" spans="1:7" x14ac:dyDescent="0.3">
      <c r="A59" s="1" t="s">
        <v>81</v>
      </c>
      <c r="B59" s="1" t="s">
        <v>98</v>
      </c>
      <c r="C59" s="1" t="s">
        <v>92</v>
      </c>
      <c r="D59" s="2" t="s">
        <v>114</v>
      </c>
      <c r="E59" s="2" t="s">
        <v>115</v>
      </c>
    </row>
    <row r="60" spans="1:7" ht="27.6" x14ac:dyDescent="0.3">
      <c r="A60" s="1" t="s">
        <v>81</v>
      </c>
      <c r="B60" s="1" t="s">
        <v>98</v>
      </c>
      <c r="C60" s="1" t="s">
        <v>93</v>
      </c>
      <c r="D60" s="2" t="s">
        <v>103</v>
      </c>
      <c r="F60" s="2" t="s">
        <v>105</v>
      </c>
      <c r="G60" s="1" t="s">
        <v>100</v>
      </c>
    </row>
    <row r="61" spans="1:7" ht="27.6" x14ac:dyDescent="0.3">
      <c r="A61" s="1" t="s">
        <v>81</v>
      </c>
      <c r="B61" s="1" t="s">
        <v>98</v>
      </c>
      <c r="C61" s="1" t="s">
        <v>94</v>
      </c>
      <c r="D61" s="2" t="s">
        <v>103</v>
      </c>
      <c r="F61" s="2" t="s">
        <v>106</v>
      </c>
      <c r="G61" s="1" t="s">
        <v>102</v>
      </c>
    </row>
    <row r="62" spans="1:7" x14ac:dyDescent="0.3">
      <c r="A62" s="1" t="s">
        <v>81</v>
      </c>
      <c r="B62" s="1" t="s">
        <v>98</v>
      </c>
      <c r="C62" s="1" t="s">
        <v>95</v>
      </c>
      <c r="D62" s="2" t="s">
        <v>118</v>
      </c>
      <c r="F62" s="2" t="s">
        <v>110</v>
      </c>
      <c r="G62" s="1" t="s">
        <v>111</v>
      </c>
    </row>
    <row r="63" spans="1:7" x14ac:dyDescent="0.3">
      <c r="A63" s="1" t="s">
        <v>81</v>
      </c>
      <c r="B63" s="1" t="s">
        <v>98</v>
      </c>
      <c r="C63" s="1" t="s">
        <v>96</v>
      </c>
      <c r="D63" s="2" t="s">
        <v>118</v>
      </c>
      <c r="E63" s="2" t="s">
        <v>113</v>
      </c>
    </row>
    <row r="64" spans="1:7" x14ac:dyDescent="0.3">
      <c r="A64" s="1" t="s">
        <v>81</v>
      </c>
      <c r="B64" s="1" t="s">
        <v>98</v>
      </c>
      <c r="C64" s="1" t="s">
        <v>97</v>
      </c>
      <c r="D64" s="2" t="s">
        <v>116</v>
      </c>
      <c r="E64" s="2" t="s">
        <v>117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D3" sqref="D3"/>
    </sheetView>
  </sheetViews>
  <sheetFormatPr defaultColWidth="9.109375" defaultRowHeight="14.4" x14ac:dyDescent="0.3"/>
  <cols>
    <col min="1" max="1" width="13" style="33" customWidth="1"/>
    <col min="2" max="2" width="43.88671875" style="17" customWidth="1"/>
    <col min="3" max="3" width="18.5546875" style="13" bestFit="1" customWidth="1"/>
    <col min="4" max="4" width="14" style="13" bestFit="1" customWidth="1"/>
    <col min="5" max="5" width="30.33203125" style="13" customWidth="1"/>
    <col min="6" max="16384" width="9.109375" style="13"/>
  </cols>
  <sheetData>
    <row r="1" spans="1:5" s="16" customFormat="1" ht="30.75" thickBot="1" x14ac:dyDescent="0.3">
      <c r="A1" s="12" t="s">
        <v>151</v>
      </c>
      <c r="B1" s="34" t="s">
        <v>152</v>
      </c>
      <c r="C1" s="34" t="s">
        <v>153</v>
      </c>
      <c r="D1" s="34" t="s">
        <v>154</v>
      </c>
      <c r="E1" s="35" t="s">
        <v>155</v>
      </c>
    </row>
    <row r="2" spans="1:5" x14ac:dyDescent="0.3">
      <c r="A2" s="32">
        <v>0.1</v>
      </c>
      <c r="B2" s="14" t="s">
        <v>156</v>
      </c>
      <c r="C2" s="14" t="s">
        <v>157</v>
      </c>
      <c r="D2" s="15">
        <v>41956</v>
      </c>
      <c r="E2" s="14"/>
    </row>
    <row r="3" spans="1:5" x14ac:dyDescent="0.3">
      <c r="A3" s="33">
        <v>1</v>
      </c>
      <c r="B3" s="17" t="s">
        <v>271</v>
      </c>
      <c r="C3" s="14" t="s">
        <v>157</v>
      </c>
      <c r="D3" s="15">
        <v>41991</v>
      </c>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
  <sheetViews>
    <sheetView zoomScale="80" zoomScaleNormal="80" workbookViewId="0">
      <pane xSplit="1" ySplit="1" topLeftCell="C2" activePane="bottomRight" state="frozen"/>
      <selection activeCell="D23" sqref="D23"/>
      <selection pane="topRight" activeCell="D23" sqref="D23"/>
      <selection pane="bottomLeft" activeCell="D23" sqref="D23"/>
      <selection pane="bottomRight" activeCell="H2" sqref="H2"/>
    </sheetView>
  </sheetViews>
  <sheetFormatPr defaultColWidth="17.5546875" defaultRowHeight="14.4" x14ac:dyDescent="0.3"/>
  <cols>
    <col min="1" max="1" width="17.5546875" style="26"/>
    <col min="2" max="2" width="17.5546875" style="27"/>
    <col min="3" max="3" width="7.6640625" style="27" bestFit="1" customWidth="1"/>
    <col min="4" max="4" width="6.5546875" style="26" bestFit="1" customWidth="1"/>
    <col min="5" max="6" width="40.109375" style="27" customWidth="1"/>
    <col min="7" max="7" width="72.109375" style="26" customWidth="1"/>
    <col min="8" max="8" width="14.88671875" style="28" bestFit="1" customWidth="1"/>
    <col min="9" max="16384" width="17.5546875" style="26"/>
  </cols>
  <sheetData>
    <row r="1" spans="1:9" s="23" customFormat="1" ht="15" thickBot="1" x14ac:dyDescent="0.35">
      <c r="A1" s="18" t="s">
        <v>140</v>
      </c>
      <c r="B1" s="20" t="s">
        <v>77</v>
      </c>
      <c r="C1" s="20" t="s">
        <v>80</v>
      </c>
      <c r="D1" s="20" t="s">
        <v>78</v>
      </c>
      <c r="E1" s="20" t="s">
        <v>79</v>
      </c>
      <c r="F1" s="20" t="s">
        <v>197</v>
      </c>
      <c r="G1" s="19" t="s">
        <v>138</v>
      </c>
      <c r="H1" s="21" t="s">
        <v>141</v>
      </c>
      <c r="I1" s="22" t="s">
        <v>142</v>
      </c>
    </row>
    <row r="2" spans="1:9" ht="57.6" x14ac:dyDescent="0.3">
      <c r="A2" s="38" t="s">
        <v>250</v>
      </c>
      <c r="B2" s="39" t="s">
        <v>251</v>
      </c>
      <c r="C2" s="24"/>
      <c r="D2" s="14" t="s">
        <v>158</v>
      </c>
      <c r="E2" s="14" t="s">
        <v>301</v>
      </c>
      <c r="F2" s="45" t="s">
        <v>300</v>
      </c>
      <c r="G2" s="14" t="s">
        <v>302</v>
      </c>
      <c r="H2" s="36">
        <v>1</v>
      </c>
      <c r="I2" s="25" t="s">
        <v>159</v>
      </c>
    </row>
  </sheetData>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
  <sheetViews>
    <sheetView tabSelected="1" zoomScale="80" zoomScaleNormal="80" workbookViewId="0">
      <pane xSplit="2" ySplit="1" topLeftCell="C2" activePane="bottomRight" state="frozen"/>
      <selection pane="topRight" activeCell="C1" sqref="C1"/>
      <selection pane="bottomLeft" activeCell="A2" sqref="A2"/>
      <selection pane="bottomRight" activeCell="H8" sqref="H8"/>
    </sheetView>
  </sheetViews>
  <sheetFormatPr defaultColWidth="9.109375" defaultRowHeight="14.4" x14ac:dyDescent="0.3"/>
  <cols>
    <col min="1" max="1" width="9.44140625" style="9" customWidth="1"/>
    <col min="2" max="2" width="12.88671875" style="9" customWidth="1"/>
    <col min="3" max="3" width="8.6640625" style="11" customWidth="1"/>
    <col min="4" max="4" width="18" style="9" bestFit="1" customWidth="1"/>
    <col min="5" max="5" width="18.33203125" style="11" customWidth="1"/>
    <col min="6" max="6" width="20.88671875" style="10" bestFit="1" customWidth="1"/>
    <col min="7" max="7" width="17.88671875" style="10" bestFit="1" customWidth="1"/>
    <col min="8" max="8" width="20.6640625" style="9" bestFit="1" customWidth="1"/>
    <col min="9" max="9" width="66" style="9" customWidth="1"/>
    <col min="10" max="10" width="10.5546875" style="9" bestFit="1" customWidth="1"/>
    <col min="11" max="11" width="13.5546875" style="9" customWidth="1"/>
    <col min="12" max="12" width="20.109375" style="11" bestFit="1" customWidth="1"/>
    <col min="13" max="13" width="17.88671875" style="9" customWidth="1"/>
    <col min="14" max="14" width="40.6640625" style="9" bestFit="1" customWidth="1"/>
    <col min="15" max="15" width="16.33203125" style="11" customWidth="1"/>
    <col min="16" max="16" width="12.88671875" style="10" customWidth="1"/>
    <col min="17" max="18" width="14.33203125" style="10" customWidth="1"/>
    <col min="19" max="19" width="19.88671875" style="9" bestFit="1" customWidth="1"/>
    <col min="20" max="20" width="19.88671875" style="9" customWidth="1"/>
    <col min="21" max="21" width="19.33203125" style="9" bestFit="1" customWidth="1"/>
    <col min="22" max="22" width="65.33203125" style="9" customWidth="1"/>
    <col min="23" max="24" width="15.88671875" style="9" customWidth="1"/>
    <col min="25" max="25" width="15.44140625" style="9" customWidth="1"/>
    <col min="26" max="26" width="23.6640625" style="9" customWidth="1"/>
    <col min="27" max="27" width="21.33203125" style="9" bestFit="1" customWidth="1"/>
    <col min="28" max="28" width="21.33203125" style="9" customWidth="1"/>
    <col min="29" max="29" width="21.33203125" style="9" hidden="1" customWidth="1"/>
    <col min="30" max="30" width="42.33203125" style="9" customWidth="1"/>
    <col min="31" max="31" width="40.88671875" style="9" hidden="1" customWidth="1"/>
    <col min="32" max="16384" width="9.109375" style="9"/>
  </cols>
  <sheetData>
    <row r="1" spans="1:26" s="8" customFormat="1" ht="15.75" thickBot="1" x14ac:dyDescent="0.3">
      <c r="A1" s="40" t="s">
        <v>140</v>
      </c>
      <c r="B1" s="37" t="s">
        <v>143</v>
      </c>
      <c r="C1" s="37" t="s">
        <v>80</v>
      </c>
      <c r="D1" s="37" t="s">
        <v>144</v>
      </c>
      <c r="E1" s="43" t="s">
        <v>135</v>
      </c>
      <c r="F1" s="37" t="s">
        <v>145</v>
      </c>
      <c r="G1" s="42" t="s">
        <v>186</v>
      </c>
      <c r="H1" s="41" t="s">
        <v>183</v>
      </c>
      <c r="I1" s="37" t="s">
        <v>146</v>
      </c>
      <c r="J1" s="37" t="s">
        <v>147</v>
      </c>
      <c r="K1" s="42" t="s">
        <v>185</v>
      </c>
      <c r="L1" s="37" t="s">
        <v>148</v>
      </c>
      <c r="M1" s="37" t="s">
        <v>195</v>
      </c>
      <c r="N1" s="37" t="s">
        <v>77</v>
      </c>
      <c r="O1" s="37" t="s">
        <v>137</v>
      </c>
      <c r="P1" s="37" t="s">
        <v>139</v>
      </c>
      <c r="Q1" s="37" t="s">
        <v>136</v>
      </c>
      <c r="R1" s="37" t="s">
        <v>198</v>
      </c>
      <c r="S1" s="37" t="s">
        <v>149</v>
      </c>
      <c r="T1" s="60" t="s">
        <v>199</v>
      </c>
      <c r="U1" s="60" t="s">
        <v>150</v>
      </c>
      <c r="V1" s="44" t="s">
        <v>138</v>
      </c>
    </row>
    <row r="2" spans="1:26" s="55" customFormat="1" x14ac:dyDescent="0.3">
      <c r="A2" s="47" t="s">
        <v>220</v>
      </c>
      <c r="B2" s="47" t="s">
        <v>160</v>
      </c>
      <c r="C2" s="48">
        <v>1</v>
      </c>
      <c r="D2" s="49" t="s">
        <v>191</v>
      </c>
      <c r="E2" s="50">
        <v>1</v>
      </c>
      <c r="F2" s="46" t="s">
        <v>170</v>
      </c>
      <c r="G2" s="46" t="s">
        <v>170</v>
      </c>
      <c r="H2" s="51" t="s">
        <v>188</v>
      </c>
      <c r="I2" s="52" t="s">
        <v>272</v>
      </c>
      <c r="J2" s="53"/>
      <c r="K2" s="59" t="s">
        <v>192</v>
      </c>
      <c r="L2" s="48"/>
      <c r="M2" s="53"/>
      <c r="N2" s="53"/>
      <c r="O2" s="48"/>
      <c r="P2" s="47"/>
      <c r="Q2" s="47"/>
      <c r="R2" s="47"/>
      <c r="S2" s="53"/>
      <c r="T2" s="54"/>
      <c r="U2" s="54"/>
      <c r="V2" s="53"/>
    </row>
    <row r="3" spans="1:26" s="55" customFormat="1" x14ac:dyDescent="0.3">
      <c r="A3" s="56" t="s">
        <v>220</v>
      </c>
      <c r="B3" s="56" t="s">
        <v>161</v>
      </c>
      <c r="C3" s="70">
        <v>2</v>
      </c>
      <c r="D3" s="71" t="s">
        <v>191</v>
      </c>
      <c r="E3" s="72">
        <v>2</v>
      </c>
      <c r="F3" s="46" t="s">
        <v>170</v>
      </c>
      <c r="G3" s="46" t="s">
        <v>170</v>
      </c>
      <c r="H3" s="51" t="s">
        <v>188</v>
      </c>
      <c r="I3" s="73" t="s">
        <v>273</v>
      </c>
      <c r="J3" s="54"/>
      <c r="K3" s="54" t="s">
        <v>192</v>
      </c>
      <c r="L3" s="70"/>
      <c r="M3" s="54"/>
      <c r="N3" s="54"/>
      <c r="O3" s="70"/>
      <c r="P3" s="56"/>
      <c r="Q3" s="56"/>
      <c r="R3" s="56"/>
      <c r="S3" s="54"/>
      <c r="T3" s="54"/>
      <c r="U3" s="54"/>
      <c r="V3" s="54"/>
      <c r="Z3" s="57"/>
    </row>
    <row r="4" spans="1:26" s="55" customFormat="1" ht="28.8" x14ac:dyDescent="0.3">
      <c r="A4" s="56" t="s">
        <v>220</v>
      </c>
      <c r="B4" s="58" t="s">
        <v>218</v>
      </c>
      <c r="C4" s="48">
        <v>3</v>
      </c>
      <c r="D4" s="49"/>
      <c r="E4" s="50"/>
      <c r="F4" s="46" t="s">
        <v>170</v>
      </c>
      <c r="G4" s="46" t="s">
        <v>170</v>
      </c>
      <c r="H4" s="51" t="s">
        <v>188</v>
      </c>
      <c r="I4" s="52" t="s">
        <v>219</v>
      </c>
      <c r="J4" s="63" t="s">
        <v>181</v>
      </c>
      <c r="K4" s="54" t="s">
        <v>193</v>
      </c>
      <c r="L4" s="48"/>
      <c r="M4" s="53"/>
      <c r="N4" s="63" t="s">
        <v>254</v>
      </c>
      <c r="O4" s="48">
        <v>8</v>
      </c>
      <c r="P4" s="47"/>
      <c r="Q4" s="90" t="s">
        <v>179</v>
      </c>
      <c r="R4" s="46"/>
      <c r="S4" s="53"/>
      <c r="T4" s="54"/>
      <c r="U4" s="54"/>
      <c r="V4" s="63" t="s">
        <v>255</v>
      </c>
    </row>
    <row r="5" spans="1:26" s="55" customFormat="1" x14ac:dyDescent="0.3">
      <c r="A5" s="56" t="s">
        <v>220</v>
      </c>
      <c r="B5" s="56" t="s">
        <v>162</v>
      </c>
      <c r="C5" s="70">
        <v>100</v>
      </c>
      <c r="D5" s="74"/>
      <c r="E5" s="70"/>
      <c r="F5" s="46" t="s">
        <v>170</v>
      </c>
      <c r="G5" s="46" t="s">
        <v>170</v>
      </c>
      <c r="H5" s="75" t="s">
        <v>184</v>
      </c>
      <c r="I5" s="46" t="s">
        <v>224</v>
      </c>
      <c r="J5" s="73" t="s">
        <v>180</v>
      </c>
      <c r="K5" s="59" t="s">
        <v>194</v>
      </c>
      <c r="L5" s="70"/>
      <c r="M5" s="73"/>
      <c r="N5" s="73" t="s">
        <v>171</v>
      </c>
      <c r="O5" s="72">
        <v>8</v>
      </c>
      <c r="P5" s="56"/>
      <c r="Q5" s="46" t="s">
        <v>178</v>
      </c>
      <c r="R5" s="46" t="s">
        <v>275</v>
      </c>
      <c r="S5" s="76" t="s">
        <v>225</v>
      </c>
      <c r="T5" s="54"/>
      <c r="U5" s="54"/>
      <c r="V5" s="73" t="s">
        <v>182</v>
      </c>
    </row>
    <row r="6" spans="1:26" s="55" customFormat="1" ht="62.25" customHeight="1" x14ac:dyDescent="0.3">
      <c r="A6" s="56" t="s">
        <v>220</v>
      </c>
      <c r="B6" s="56" t="s">
        <v>163</v>
      </c>
      <c r="C6" s="70">
        <v>101</v>
      </c>
      <c r="D6" s="74"/>
      <c r="E6" s="70"/>
      <c r="F6" s="46" t="s">
        <v>170</v>
      </c>
      <c r="G6" s="46" t="s">
        <v>170</v>
      </c>
      <c r="H6" s="75" t="s">
        <v>188</v>
      </c>
      <c r="I6" s="52" t="s">
        <v>210</v>
      </c>
      <c r="J6" s="73" t="s">
        <v>180</v>
      </c>
      <c r="K6" s="54" t="s">
        <v>193</v>
      </c>
      <c r="L6" s="70"/>
      <c r="M6" s="73"/>
      <c r="N6" s="73" t="s">
        <v>172</v>
      </c>
      <c r="O6" s="72">
        <v>200</v>
      </c>
      <c r="P6" s="56" t="s">
        <v>170</v>
      </c>
      <c r="Q6" s="46" t="s">
        <v>178</v>
      </c>
      <c r="R6" s="46" t="s">
        <v>275</v>
      </c>
      <c r="S6" s="76" t="s">
        <v>283</v>
      </c>
      <c r="T6" s="54"/>
      <c r="U6" s="54"/>
      <c r="V6" s="73" t="s">
        <v>258</v>
      </c>
    </row>
    <row r="7" spans="1:26" s="55" customFormat="1" ht="39.75" customHeight="1" x14ac:dyDescent="0.3">
      <c r="A7" s="56" t="s">
        <v>220</v>
      </c>
      <c r="B7" s="56" t="s">
        <v>164</v>
      </c>
      <c r="C7" s="70">
        <v>102</v>
      </c>
      <c r="D7" s="74"/>
      <c r="E7" s="72">
        <v>4</v>
      </c>
      <c r="F7" s="46" t="s">
        <v>170</v>
      </c>
      <c r="G7" s="46" t="s">
        <v>170</v>
      </c>
      <c r="H7" s="75" t="s">
        <v>188</v>
      </c>
      <c r="I7" s="52" t="s">
        <v>274</v>
      </c>
      <c r="J7" s="73" t="s">
        <v>181</v>
      </c>
      <c r="K7" s="54" t="s">
        <v>193</v>
      </c>
      <c r="L7" s="70"/>
      <c r="M7" s="73"/>
      <c r="N7" s="73" t="s">
        <v>173</v>
      </c>
      <c r="O7" s="72">
        <v>8</v>
      </c>
      <c r="P7" s="58" t="s">
        <v>170</v>
      </c>
      <c r="Q7" s="46" t="s">
        <v>179</v>
      </c>
      <c r="R7" s="46" t="s">
        <v>275</v>
      </c>
      <c r="S7" s="76" t="s">
        <v>284</v>
      </c>
      <c r="T7" s="54"/>
      <c r="U7" s="54"/>
      <c r="V7" s="73" t="s">
        <v>226</v>
      </c>
    </row>
    <row r="8" spans="1:26" s="106" customFormat="1" ht="57.6" x14ac:dyDescent="0.3">
      <c r="A8" s="56" t="s">
        <v>220</v>
      </c>
      <c r="B8" s="94" t="s">
        <v>293</v>
      </c>
      <c r="C8" s="95">
        <v>103</v>
      </c>
      <c r="D8" s="96"/>
      <c r="E8" s="97">
        <v>3</v>
      </c>
      <c r="F8" s="98" t="s">
        <v>170</v>
      </c>
      <c r="G8" s="99"/>
      <c r="H8" s="79" t="s">
        <v>184</v>
      </c>
      <c r="I8" s="101" t="s">
        <v>303</v>
      </c>
      <c r="J8" s="101" t="s">
        <v>180</v>
      </c>
      <c r="K8" s="100" t="s">
        <v>193</v>
      </c>
      <c r="L8" s="95"/>
      <c r="M8" s="101"/>
      <c r="N8" s="102" t="s">
        <v>297</v>
      </c>
      <c r="O8" s="103">
        <v>40</v>
      </c>
      <c r="P8" s="99"/>
      <c r="Q8" s="98" t="s">
        <v>178</v>
      </c>
      <c r="R8" s="46" t="s">
        <v>275</v>
      </c>
      <c r="S8" s="104" t="s">
        <v>298</v>
      </c>
      <c r="T8" s="100"/>
      <c r="U8" s="100"/>
      <c r="V8" s="105" t="s">
        <v>299</v>
      </c>
    </row>
    <row r="9" spans="1:26" s="55" customFormat="1" ht="39.75" customHeight="1" x14ac:dyDescent="0.3">
      <c r="A9" s="56" t="s">
        <v>220</v>
      </c>
      <c r="B9" s="56" t="s">
        <v>222</v>
      </c>
      <c r="C9" s="70">
        <v>200</v>
      </c>
      <c r="D9" s="74"/>
      <c r="E9" s="72"/>
      <c r="F9" s="46" t="s">
        <v>170</v>
      </c>
      <c r="G9" s="46"/>
      <c r="H9" s="79" t="s">
        <v>184</v>
      </c>
      <c r="I9" s="52" t="s">
        <v>292</v>
      </c>
      <c r="J9" s="73" t="s">
        <v>181</v>
      </c>
      <c r="K9" s="59" t="s">
        <v>193</v>
      </c>
      <c r="L9" s="70"/>
      <c r="M9" s="73" t="s">
        <v>196</v>
      </c>
      <c r="N9" s="73" t="s">
        <v>227</v>
      </c>
      <c r="O9" s="72">
        <v>8</v>
      </c>
      <c r="P9" s="58" t="s">
        <v>170</v>
      </c>
      <c r="Q9" s="46" t="s">
        <v>179</v>
      </c>
      <c r="R9" s="46"/>
      <c r="S9" s="77"/>
      <c r="T9" s="54"/>
      <c r="U9" s="54"/>
      <c r="V9" s="73" t="s">
        <v>228</v>
      </c>
    </row>
    <row r="10" spans="1:26" s="55" customFormat="1" ht="43.2" x14ac:dyDescent="0.3">
      <c r="A10" s="56" t="s">
        <v>220</v>
      </c>
      <c r="B10" s="56" t="s">
        <v>165</v>
      </c>
      <c r="C10" s="70">
        <v>300</v>
      </c>
      <c r="D10" s="71"/>
      <c r="E10" s="78"/>
      <c r="F10" s="46" t="s">
        <v>170</v>
      </c>
      <c r="G10" s="46" t="s">
        <v>170</v>
      </c>
      <c r="H10" s="79" t="s">
        <v>184</v>
      </c>
      <c r="I10" s="46" t="s">
        <v>277</v>
      </c>
      <c r="J10" s="73" t="s">
        <v>278</v>
      </c>
      <c r="K10" s="73" t="s">
        <v>193</v>
      </c>
      <c r="L10" s="70">
        <v>4</v>
      </c>
      <c r="M10" s="73"/>
      <c r="N10" s="73" t="s">
        <v>214</v>
      </c>
      <c r="O10" s="72">
        <v>8</v>
      </c>
      <c r="P10" s="56"/>
      <c r="Q10" s="46" t="s">
        <v>179</v>
      </c>
      <c r="R10" s="46"/>
      <c r="S10" s="77"/>
      <c r="T10" s="54"/>
      <c r="U10" s="54"/>
      <c r="V10" s="73" t="s">
        <v>276</v>
      </c>
    </row>
    <row r="11" spans="1:26" s="55" customFormat="1" ht="28.8" x14ac:dyDescent="0.3">
      <c r="A11" s="56" t="s">
        <v>220</v>
      </c>
      <c r="B11" s="56" t="s">
        <v>229</v>
      </c>
      <c r="C11" s="70">
        <v>302</v>
      </c>
      <c r="D11" s="71"/>
      <c r="E11" s="78"/>
      <c r="F11" s="46" t="s">
        <v>170</v>
      </c>
      <c r="G11" s="46" t="s">
        <v>170</v>
      </c>
      <c r="H11" s="75" t="s">
        <v>184</v>
      </c>
      <c r="I11" s="46" t="s">
        <v>257</v>
      </c>
      <c r="J11" s="73" t="s">
        <v>181</v>
      </c>
      <c r="K11" s="73" t="s">
        <v>193</v>
      </c>
      <c r="L11" s="70"/>
      <c r="M11" s="73" t="s">
        <v>196</v>
      </c>
      <c r="N11" s="73" t="s">
        <v>230</v>
      </c>
      <c r="O11" s="72">
        <v>8</v>
      </c>
      <c r="P11" s="58" t="s">
        <v>170</v>
      </c>
      <c r="Q11" s="46" t="s">
        <v>179</v>
      </c>
      <c r="R11" s="46"/>
      <c r="S11" s="77"/>
      <c r="T11" s="54"/>
      <c r="U11" s="54"/>
      <c r="V11" s="73" t="s">
        <v>256</v>
      </c>
    </row>
    <row r="12" spans="1:26" s="55" customFormat="1" x14ac:dyDescent="0.3">
      <c r="A12" s="56" t="s">
        <v>220</v>
      </c>
      <c r="B12" s="54" t="s">
        <v>187</v>
      </c>
      <c r="C12" s="70">
        <v>405</v>
      </c>
      <c r="D12" s="49" t="s">
        <v>191</v>
      </c>
      <c r="E12" s="78"/>
      <c r="F12" s="46" t="s">
        <v>170</v>
      </c>
      <c r="G12" s="56"/>
      <c r="H12" s="75" t="s">
        <v>188</v>
      </c>
      <c r="I12" s="52" t="s">
        <v>212</v>
      </c>
      <c r="J12" s="54"/>
      <c r="K12" s="59" t="s">
        <v>192</v>
      </c>
      <c r="L12" s="70"/>
      <c r="M12" s="54"/>
      <c r="N12" s="54"/>
      <c r="O12" s="70"/>
      <c r="P12" s="56"/>
      <c r="Q12" s="56"/>
      <c r="R12" s="56"/>
      <c r="S12" s="77"/>
      <c r="T12" s="54"/>
      <c r="U12" s="54"/>
      <c r="V12" s="54"/>
    </row>
    <row r="13" spans="1:26" s="55" customFormat="1" x14ac:dyDescent="0.3">
      <c r="A13" s="38" t="s">
        <v>220</v>
      </c>
      <c r="B13" s="59" t="s">
        <v>211</v>
      </c>
      <c r="C13" s="48">
        <v>406</v>
      </c>
      <c r="D13" s="49" t="s">
        <v>191</v>
      </c>
      <c r="E13" s="50"/>
      <c r="F13" s="46"/>
      <c r="G13" s="46"/>
      <c r="H13" s="51" t="s">
        <v>188</v>
      </c>
      <c r="I13" s="52" t="s">
        <v>213</v>
      </c>
      <c r="J13" s="63"/>
      <c r="K13" s="54" t="s">
        <v>192</v>
      </c>
      <c r="L13" s="48"/>
      <c r="M13" s="53"/>
      <c r="N13" s="53"/>
      <c r="O13" s="48"/>
      <c r="P13" s="47"/>
      <c r="Q13" s="47"/>
      <c r="R13" s="56"/>
      <c r="S13" s="53"/>
      <c r="T13" s="54"/>
      <c r="U13" s="54"/>
      <c r="V13" s="53"/>
    </row>
    <row r="14" spans="1:26" s="55" customFormat="1" x14ac:dyDescent="0.3">
      <c r="A14" s="38" t="s">
        <v>220</v>
      </c>
      <c r="B14" s="59" t="s">
        <v>252</v>
      </c>
      <c r="C14" s="48">
        <v>407</v>
      </c>
      <c r="D14" s="49" t="s">
        <v>191</v>
      </c>
      <c r="E14" s="50"/>
      <c r="F14" s="46"/>
      <c r="G14" s="46"/>
      <c r="H14" s="51" t="s">
        <v>188</v>
      </c>
      <c r="I14" s="52" t="s">
        <v>253</v>
      </c>
      <c r="J14" s="63"/>
      <c r="K14" s="54" t="s">
        <v>192</v>
      </c>
      <c r="L14" s="48"/>
      <c r="M14" s="53"/>
      <c r="N14" s="53"/>
      <c r="O14" s="48"/>
      <c r="P14" s="47"/>
      <c r="Q14" s="47"/>
      <c r="R14" s="56"/>
      <c r="S14" s="53"/>
      <c r="T14" s="54"/>
      <c r="U14" s="54"/>
      <c r="V14" s="53"/>
    </row>
    <row r="15" spans="1:26" s="55" customFormat="1" x14ac:dyDescent="0.3">
      <c r="A15" s="38" t="s">
        <v>220</v>
      </c>
      <c r="B15" s="59" t="s">
        <v>279</v>
      </c>
      <c r="C15" s="48">
        <v>408</v>
      </c>
      <c r="D15" s="49" t="s">
        <v>191</v>
      </c>
      <c r="E15" s="50"/>
      <c r="F15" s="46"/>
      <c r="G15" s="46"/>
      <c r="H15" s="51" t="s">
        <v>188</v>
      </c>
      <c r="I15" s="52" t="s">
        <v>280</v>
      </c>
      <c r="J15" s="63"/>
      <c r="K15" s="54" t="s">
        <v>192</v>
      </c>
      <c r="L15" s="48"/>
      <c r="M15" s="53"/>
      <c r="N15" s="53"/>
      <c r="O15" s="48"/>
      <c r="P15" s="47"/>
      <c r="Q15" s="47"/>
      <c r="R15" s="56"/>
      <c r="S15" s="53"/>
      <c r="T15" s="54"/>
      <c r="U15" s="54"/>
      <c r="V15" s="53"/>
    </row>
    <row r="16" spans="1:26" s="55" customFormat="1" x14ac:dyDescent="0.3">
      <c r="A16" s="38" t="s">
        <v>220</v>
      </c>
      <c r="B16" s="59" t="s">
        <v>281</v>
      </c>
      <c r="C16" s="48">
        <v>409</v>
      </c>
      <c r="D16" s="49" t="s">
        <v>191</v>
      </c>
      <c r="E16" s="50"/>
      <c r="F16" s="46"/>
      <c r="G16" s="46"/>
      <c r="H16" s="51" t="s">
        <v>188</v>
      </c>
      <c r="I16" s="52" t="s">
        <v>282</v>
      </c>
      <c r="J16" s="63"/>
      <c r="K16" s="54" t="s">
        <v>192</v>
      </c>
      <c r="L16" s="48"/>
      <c r="M16" s="53"/>
      <c r="N16" s="53"/>
      <c r="O16" s="48"/>
      <c r="P16" s="47"/>
      <c r="Q16" s="47"/>
      <c r="R16" s="56"/>
      <c r="S16" s="53"/>
      <c r="T16" s="54"/>
      <c r="U16" s="54"/>
      <c r="V16" s="53"/>
    </row>
    <row r="17" spans="1:22" s="55" customFormat="1" ht="72" x14ac:dyDescent="0.3">
      <c r="A17" s="56" t="s">
        <v>220</v>
      </c>
      <c r="B17" s="56" t="s">
        <v>166</v>
      </c>
      <c r="C17" s="70">
        <v>500</v>
      </c>
      <c r="D17" s="73"/>
      <c r="E17" s="78"/>
      <c r="F17" s="46" t="s">
        <v>170</v>
      </c>
      <c r="G17" s="56"/>
      <c r="H17" s="79" t="s">
        <v>189</v>
      </c>
      <c r="I17" s="73" t="s">
        <v>231</v>
      </c>
      <c r="J17" s="73" t="s">
        <v>180</v>
      </c>
      <c r="K17" s="73" t="s">
        <v>193</v>
      </c>
      <c r="L17" s="70"/>
      <c r="M17" s="73"/>
      <c r="N17" s="73" t="s">
        <v>174</v>
      </c>
      <c r="O17" s="72">
        <v>200</v>
      </c>
      <c r="P17" s="56"/>
      <c r="Q17" s="46" t="s">
        <v>178</v>
      </c>
      <c r="R17" s="46" t="s">
        <v>200</v>
      </c>
      <c r="S17" s="77" t="s">
        <v>232</v>
      </c>
      <c r="T17" s="54"/>
      <c r="U17" s="54"/>
      <c r="V17" s="73" t="s">
        <v>233</v>
      </c>
    </row>
    <row r="18" spans="1:22" s="55" customFormat="1" ht="28.8" x14ac:dyDescent="0.3">
      <c r="A18" s="56" t="s">
        <v>220</v>
      </c>
      <c r="B18" s="56" t="s">
        <v>167</v>
      </c>
      <c r="C18" s="70">
        <v>501</v>
      </c>
      <c r="D18" s="73"/>
      <c r="E18" s="78"/>
      <c r="F18" s="46" t="s">
        <v>170</v>
      </c>
      <c r="G18" s="56"/>
      <c r="H18" s="75" t="s">
        <v>188</v>
      </c>
      <c r="I18" s="73" t="s">
        <v>234</v>
      </c>
      <c r="J18" s="73" t="s">
        <v>181</v>
      </c>
      <c r="K18" s="73" t="s">
        <v>194</v>
      </c>
      <c r="L18" s="70"/>
      <c r="M18" s="73"/>
      <c r="N18" s="73" t="s">
        <v>175</v>
      </c>
      <c r="O18" s="72">
        <v>8</v>
      </c>
      <c r="P18" s="56"/>
      <c r="Q18" s="46" t="s">
        <v>179</v>
      </c>
      <c r="R18" s="46" t="s">
        <v>200</v>
      </c>
      <c r="S18" s="77" t="s">
        <v>235</v>
      </c>
      <c r="T18" s="54"/>
      <c r="U18" s="54"/>
      <c r="V18" s="73" t="s">
        <v>236</v>
      </c>
    </row>
    <row r="19" spans="1:22" s="55" customFormat="1" ht="57.6" x14ac:dyDescent="0.3">
      <c r="A19" s="56" t="s">
        <v>220</v>
      </c>
      <c r="B19" s="56" t="s">
        <v>168</v>
      </c>
      <c r="C19" s="70">
        <v>502</v>
      </c>
      <c r="D19" s="73"/>
      <c r="E19" s="78"/>
      <c r="F19" s="46"/>
      <c r="G19" s="56"/>
      <c r="H19" s="79" t="s">
        <v>189</v>
      </c>
      <c r="I19" s="73" t="s">
        <v>237</v>
      </c>
      <c r="J19" s="73" t="s">
        <v>180</v>
      </c>
      <c r="K19" s="73" t="s">
        <v>193</v>
      </c>
      <c r="L19" s="70"/>
      <c r="M19" s="73"/>
      <c r="N19" s="73" t="s">
        <v>176</v>
      </c>
      <c r="O19" s="72">
        <v>200</v>
      </c>
      <c r="P19" s="56"/>
      <c r="Q19" s="46" t="s">
        <v>178</v>
      </c>
      <c r="R19" s="46" t="s">
        <v>200</v>
      </c>
      <c r="S19" s="77" t="s">
        <v>232</v>
      </c>
      <c r="T19" s="54"/>
      <c r="U19" s="54"/>
      <c r="V19" s="73" t="s">
        <v>238</v>
      </c>
    </row>
    <row r="20" spans="1:22" s="55" customFormat="1" ht="28.8" x14ac:dyDescent="0.3">
      <c r="A20" s="56" t="s">
        <v>220</v>
      </c>
      <c r="B20" s="56" t="s">
        <v>169</v>
      </c>
      <c r="C20" s="70">
        <v>503</v>
      </c>
      <c r="D20" s="54"/>
      <c r="E20" s="78"/>
      <c r="F20" s="46"/>
      <c r="G20" s="56"/>
      <c r="H20" s="75" t="s">
        <v>188</v>
      </c>
      <c r="I20" s="73" t="s">
        <v>239</v>
      </c>
      <c r="J20" s="73" t="s">
        <v>181</v>
      </c>
      <c r="K20" s="73" t="s">
        <v>194</v>
      </c>
      <c r="L20" s="70"/>
      <c r="M20" s="73"/>
      <c r="N20" s="73" t="s">
        <v>177</v>
      </c>
      <c r="O20" s="72">
        <v>8</v>
      </c>
      <c r="P20" s="56"/>
      <c r="Q20" s="46" t="s">
        <v>179</v>
      </c>
      <c r="R20" s="46" t="s">
        <v>200</v>
      </c>
      <c r="S20" s="77" t="s">
        <v>235</v>
      </c>
      <c r="T20" s="54"/>
      <c r="U20" s="54"/>
      <c r="V20" s="73" t="s">
        <v>240</v>
      </c>
    </row>
    <row r="21" spans="1:22" s="55" customFormat="1" ht="28.8" x14ac:dyDescent="0.3">
      <c r="A21" s="56" t="s">
        <v>220</v>
      </c>
      <c r="B21" s="58" t="s">
        <v>221</v>
      </c>
      <c r="C21" s="70">
        <v>800</v>
      </c>
      <c r="D21" s="54"/>
      <c r="E21" s="78"/>
      <c r="F21" s="46" t="s">
        <v>170</v>
      </c>
      <c r="G21" s="58" t="s">
        <v>170</v>
      </c>
      <c r="H21" s="75" t="s">
        <v>188</v>
      </c>
      <c r="I21" s="52" t="s">
        <v>210</v>
      </c>
      <c r="J21" s="73" t="s">
        <v>181</v>
      </c>
      <c r="K21" s="73" t="s">
        <v>193</v>
      </c>
      <c r="L21" s="70"/>
      <c r="M21" s="73"/>
      <c r="N21" s="73" t="s">
        <v>241</v>
      </c>
      <c r="O21" s="72">
        <v>8</v>
      </c>
      <c r="P21" s="58" t="s">
        <v>170</v>
      </c>
      <c r="Q21" s="46" t="s">
        <v>179</v>
      </c>
      <c r="R21" s="46" t="s">
        <v>275</v>
      </c>
      <c r="S21" s="76" t="s">
        <v>285</v>
      </c>
      <c r="T21" s="54"/>
      <c r="U21" s="54"/>
      <c r="V21" s="63" t="s">
        <v>242</v>
      </c>
    </row>
    <row r="22" spans="1:22" s="55" customFormat="1" x14ac:dyDescent="0.3">
      <c r="A22" s="56" t="s">
        <v>220</v>
      </c>
      <c r="B22" s="56" t="s">
        <v>223</v>
      </c>
      <c r="C22" s="70">
        <v>801</v>
      </c>
      <c r="D22" s="54"/>
      <c r="E22" s="78"/>
      <c r="F22" s="46" t="s">
        <v>170</v>
      </c>
      <c r="G22" s="58" t="s">
        <v>170</v>
      </c>
      <c r="H22" s="79" t="s">
        <v>184</v>
      </c>
      <c r="I22" s="52" t="s">
        <v>210</v>
      </c>
      <c r="J22" s="73" t="s">
        <v>180</v>
      </c>
      <c r="K22" s="73" t="s">
        <v>193</v>
      </c>
      <c r="L22" s="70"/>
      <c r="M22" s="73"/>
      <c r="N22" s="73" t="s">
        <v>246</v>
      </c>
      <c r="O22" s="72">
        <v>200</v>
      </c>
      <c r="P22" s="58" t="s">
        <v>170</v>
      </c>
      <c r="Q22" s="46" t="s">
        <v>178</v>
      </c>
      <c r="R22" s="46" t="s">
        <v>275</v>
      </c>
      <c r="S22" s="76" t="s">
        <v>286</v>
      </c>
      <c r="T22" s="54"/>
      <c r="U22" s="54"/>
      <c r="V22" s="73" t="s">
        <v>247</v>
      </c>
    </row>
    <row r="23" spans="1:22" s="55" customFormat="1" ht="28.8" x14ac:dyDescent="0.3">
      <c r="A23" s="56" t="s">
        <v>220</v>
      </c>
      <c r="B23" s="56" t="s">
        <v>205</v>
      </c>
      <c r="C23" s="70">
        <v>802</v>
      </c>
      <c r="D23" s="54"/>
      <c r="E23" s="78"/>
      <c r="F23" s="46" t="s">
        <v>170</v>
      </c>
      <c r="G23" s="58" t="s">
        <v>170</v>
      </c>
      <c r="H23" s="79" t="s">
        <v>184</v>
      </c>
      <c r="I23" s="73" t="s">
        <v>243</v>
      </c>
      <c r="J23" s="73" t="s">
        <v>180</v>
      </c>
      <c r="K23" s="73" t="s">
        <v>194</v>
      </c>
      <c r="L23" s="70"/>
      <c r="M23" s="73"/>
      <c r="N23" s="73" t="s">
        <v>244</v>
      </c>
      <c r="O23" s="72">
        <v>8</v>
      </c>
      <c r="P23" s="56"/>
      <c r="Q23" s="46" t="s">
        <v>178</v>
      </c>
      <c r="R23" s="46"/>
      <c r="S23" s="77"/>
      <c r="T23" s="54"/>
      <c r="U23" s="54"/>
      <c r="V23" s="53" t="s">
        <v>208</v>
      </c>
    </row>
    <row r="24" spans="1:22" s="55" customFormat="1" x14ac:dyDescent="0.3">
      <c r="A24" s="56" t="s">
        <v>220</v>
      </c>
      <c r="B24" s="56" t="s">
        <v>206</v>
      </c>
      <c r="C24" s="70">
        <v>804</v>
      </c>
      <c r="D24" s="54"/>
      <c r="E24" s="78"/>
      <c r="F24" s="46" t="s">
        <v>170</v>
      </c>
      <c r="G24" s="58" t="s">
        <v>170</v>
      </c>
      <c r="H24" s="79" t="s">
        <v>184</v>
      </c>
      <c r="I24" s="73" t="s">
        <v>245</v>
      </c>
      <c r="J24" s="73" t="s">
        <v>181</v>
      </c>
      <c r="K24" s="73" t="s">
        <v>192</v>
      </c>
      <c r="L24" s="70"/>
      <c r="M24" s="73"/>
      <c r="N24" s="73" t="s">
        <v>207</v>
      </c>
      <c r="O24" s="72">
        <v>8</v>
      </c>
      <c r="P24" s="56"/>
      <c r="Q24" s="46" t="s">
        <v>179</v>
      </c>
      <c r="R24" s="46"/>
      <c r="S24" s="77"/>
      <c r="T24" s="54"/>
      <c r="U24" s="54"/>
      <c r="V24" s="53" t="s">
        <v>209</v>
      </c>
    </row>
    <row r="26" spans="1:22" x14ac:dyDescent="0.3">
      <c r="I26" s="89"/>
    </row>
  </sheetData>
  <autoFilter ref="A1:AO24"/>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
  <sheetViews>
    <sheetView workbookViewId="0">
      <selection activeCell="C9" sqref="C9"/>
    </sheetView>
  </sheetViews>
  <sheetFormatPr defaultColWidth="10.5546875" defaultRowHeight="14.4" x14ac:dyDescent="0.3"/>
  <cols>
    <col min="1" max="1" width="8.6640625" style="30" bestFit="1" customWidth="1"/>
    <col min="2" max="2" width="16.109375" style="30" bestFit="1" customWidth="1"/>
    <col min="3" max="3" width="10.33203125" style="30" bestFit="1" customWidth="1"/>
    <col min="4" max="4" width="39.109375" style="93" customWidth="1"/>
    <col min="5" max="5" width="9.109375" style="86" bestFit="1" customWidth="1"/>
    <col min="6" max="6" width="10.44140625" style="30" bestFit="1" customWidth="1"/>
    <col min="7" max="7" width="7.77734375" style="30" customWidth="1"/>
    <col min="8" max="8" width="11.109375" style="86" bestFit="1" customWidth="1"/>
    <col min="9" max="10" width="6.109375" style="86" bestFit="1" customWidth="1"/>
    <col min="11" max="11" width="9" style="86" bestFit="1" customWidth="1"/>
    <col min="12" max="12" width="6.6640625" style="30" bestFit="1" customWidth="1"/>
    <col min="13" max="13" width="9" style="86" bestFit="1" customWidth="1"/>
    <col min="14" max="14" width="6.88671875" style="86" bestFit="1" customWidth="1"/>
    <col min="15" max="15" width="5.6640625" style="30" bestFit="1" customWidth="1"/>
    <col min="16" max="16" width="8.88671875" style="30" bestFit="1" customWidth="1"/>
    <col min="17" max="17" width="7.6640625" style="30" bestFit="1" customWidth="1"/>
    <col min="18" max="18" width="30.5546875" style="30" bestFit="1" customWidth="1"/>
    <col min="19" max="19" width="10.44140625" style="30" bestFit="1" customWidth="1"/>
    <col min="20" max="20" width="10.5546875" style="30"/>
    <col min="21" max="21" width="8.5546875" style="30" customWidth="1"/>
    <col min="22" max="22" width="10.5546875" style="30"/>
    <col min="23" max="23" width="10.5546875" style="86"/>
    <col min="24" max="16384" width="10.5546875" style="30"/>
  </cols>
  <sheetData>
    <row r="1" spans="1:18" x14ac:dyDescent="0.3">
      <c r="A1" s="80" t="s">
        <v>160</v>
      </c>
      <c r="B1" s="80" t="s">
        <v>161</v>
      </c>
      <c r="C1" s="80" t="s">
        <v>162</v>
      </c>
      <c r="D1" s="91" t="s">
        <v>163</v>
      </c>
      <c r="E1" s="80" t="s">
        <v>164</v>
      </c>
      <c r="F1" s="81" t="s">
        <v>222</v>
      </c>
      <c r="G1" s="82" t="s">
        <v>165</v>
      </c>
      <c r="H1" s="81" t="s">
        <v>229</v>
      </c>
      <c r="I1" s="80" t="s">
        <v>187</v>
      </c>
      <c r="J1" s="80" t="s">
        <v>211</v>
      </c>
      <c r="K1" s="83" t="s">
        <v>166</v>
      </c>
      <c r="L1" s="83" t="s">
        <v>167</v>
      </c>
      <c r="M1" s="83" t="s">
        <v>168</v>
      </c>
      <c r="N1" s="83" t="s">
        <v>169</v>
      </c>
      <c r="O1" s="84" t="s">
        <v>221</v>
      </c>
      <c r="P1" s="84" t="s">
        <v>205</v>
      </c>
      <c r="Q1" s="84" t="s">
        <v>206</v>
      </c>
      <c r="R1" s="84" t="s">
        <v>223</v>
      </c>
    </row>
    <row r="2" spans="1:18" x14ac:dyDescent="0.3">
      <c r="A2" s="31" t="s">
        <v>190</v>
      </c>
      <c r="B2" s="61" t="s">
        <v>201</v>
      </c>
      <c r="C2" s="61" t="s">
        <v>287</v>
      </c>
      <c r="D2" s="92" t="s">
        <v>288</v>
      </c>
      <c r="E2" s="61">
        <v>1</v>
      </c>
      <c r="F2" s="65" t="s">
        <v>216</v>
      </c>
      <c r="G2" s="85" t="s">
        <v>264</v>
      </c>
      <c r="H2" s="64" t="s">
        <v>215</v>
      </c>
      <c r="I2" s="61" t="s">
        <v>170</v>
      </c>
      <c r="J2" s="61" t="s">
        <v>170</v>
      </c>
      <c r="K2" s="69" t="s">
        <v>202</v>
      </c>
      <c r="L2" s="67">
        <v>2</v>
      </c>
      <c r="M2" s="69" t="s">
        <v>202</v>
      </c>
      <c r="N2" s="67">
        <v>2</v>
      </c>
      <c r="O2" s="29">
        <v>0</v>
      </c>
      <c r="P2" s="29" t="s">
        <v>204</v>
      </c>
      <c r="Q2" s="29">
        <v>2</v>
      </c>
      <c r="R2" s="29" t="s">
        <v>248</v>
      </c>
    </row>
    <row r="3" spans="1:18" x14ac:dyDescent="0.3">
      <c r="A3" s="31" t="s">
        <v>190</v>
      </c>
      <c r="B3" s="61" t="s">
        <v>201</v>
      </c>
      <c r="C3" s="61" t="s">
        <v>294</v>
      </c>
      <c r="D3" s="92" t="s">
        <v>289</v>
      </c>
      <c r="E3" s="61">
        <v>2</v>
      </c>
      <c r="F3" s="65" t="s">
        <v>261</v>
      </c>
      <c r="G3" s="85" t="s">
        <v>265</v>
      </c>
      <c r="H3" s="64" t="s">
        <v>215</v>
      </c>
      <c r="I3" s="61" t="s">
        <v>170</v>
      </c>
      <c r="J3" s="61" t="s">
        <v>170</v>
      </c>
      <c r="K3" s="69" t="s">
        <v>202</v>
      </c>
      <c r="L3" s="67">
        <v>2</v>
      </c>
      <c r="M3" s="69" t="s">
        <v>202</v>
      </c>
      <c r="N3" s="67">
        <v>2</v>
      </c>
      <c r="O3" s="29">
        <v>0</v>
      </c>
      <c r="P3" s="29" t="s">
        <v>204</v>
      </c>
      <c r="Q3" s="29">
        <v>3</v>
      </c>
      <c r="R3" s="29" t="s">
        <v>259</v>
      </c>
    </row>
    <row r="4" spans="1:18" ht="28.8" x14ac:dyDescent="0.3">
      <c r="A4" s="31" t="s">
        <v>190</v>
      </c>
      <c r="B4" s="61" t="s">
        <v>201</v>
      </c>
      <c r="C4" s="61" t="s">
        <v>295</v>
      </c>
      <c r="D4" s="92" t="s">
        <v>290</v>
      </c>
      <c r="E4" s="61">
        <v>3</v>
      </c>
      <c r="F4" s="65" t="s">
        <v>261</v>
      </c>
      <c r="G4" s="85" t="s">
        <v>265</v>
      </c>
      <c r="H4" s="64" t="s">
        <v>215</v>
      </c>
      <c r="I4" s="61" t="s">
        <v>170</v>
      </c>
      <c r="J4" s="61" t="s">
        <v>170</v>
      </c>
      <c r="K4" s="69" t="s">
        <v>202</v>
      </c>
      <c r="L4" s="67">
        <v>2</v>
      </c>
      <c r="M4" s="69" t="s">
        <v>202</v>
      </c>
      <c r="N4" s="67">
        <v>2</v>
      </c>
      <c r="O4" s="29">
        <v>0</v>
      </c>
      <c r="P4" s="29" t="s">
        <v>204</v>
      </c>
      <c r="Q4" s="29">
        <v>3</v>
      </c>
      <c r="R4" s="29" t="s">
        <v>259</v>
      </c>
    </row>
    <row r="5" spans="1:18" x14ac:dyDescent="0.3">
      <c r="A5" s="31" t="s">
        <v>190</v>
      </c>
      <c r="B5" s="61" t="s">
        <v>201</v>
      </c>
      <c r="C5" s="61" t="s">
        <v>296</v>
      </c>
      <c r="D5" s="92" t="s">
        <v>291</v>
      </c>
      <c r="E5" s="61">
        <v>4</v>
      </c>
      <c r="F5" s="65" t="s">
        <v>261</v>
      </c>
      <c r="G5" s="85" t="s">
        <v>265</v>
      </c>
      <c r="H5" s="64" t="s">
        <v>215</v>
      </c>
      <c r="I5" s="61" t="s">
        <v>170</v>
      </c>
      <c r="J5" s="61" t="s">
        <v>170</v>
      </c>
      <c r="K5" s="69" t="s">
        <v>202</v>
      </c>
      <c r="L5" s="67">
        <v>2</v>
      </c>
      <c r="M5" s="69" t="s">
        <v>202</v>
      </c>
      <c r="N5" s="67">
        <v>2</v>
      </c>
      <c r="O5" s="29">
        <v>0</v>
      </c>
      <c r="P5" s="29" t="s">
        <v>204</v>
      </c>
      <c r="Q5" s="29">
        <v>3</v>
      </c>
      <c r="R5" s="29" t="s">
        <v>259</v>
      </c>
    </row>
    <row r="6" spans="1:18" x14ac:dyDescent="0.3">
      <c r="A6" s="29" t="s">
        <v>190</v>
      </c>
      <c r="B6" s="62" t="s">
        <v>203</v>
      </c>
      <c r="C6" s="61" t="s">
        <v>287</v>
      </c>
      <c r="D6" s="92" t="s">
        <v>288</v>
      </c>
      <c r="E6" s="61">
        <v>1</v>
      </c>
      <c r="F6" s="66" t="s">
        <v>267</v>
      </c>
      <c r="G6" s="85" t="s">
        <v>268</v>
      </c>
      <c r="H6" s="66" t="s">
        <v>217</v>
      </c>
      <c r="I6" s="29" t="s">
        <v>170</v>
      </c>
      <c r="J6" s="29" t="s">
        <v>170</v>
      </c>
      <c r="K6" s="68" t="s">
        <v>260</v>
      </c>
      <c r="L6" s="68">
        <v>1</v>
      </c>
      <c r="M6" s="68" t="s">
        <v>260</v>
      </c>
      <c r="N6" s="68">
        <v>1</v>
      </c>
      <c r="O6" s="29">
        <v>1</v>
      </c>
      <c r="P6" s="29" t="s">
        <v>204</v>
      </c>
      <c r="Q6" s="68">
        <v>2</v>
      </c>
      <c r="R6" s="29" t="s">
        <v>249</v>
      </c>
    </row>
    <row r="7" spans="1:18" x14ac:dyDescent="0.3">
      <c r="A7" s="29" t="s">
        <v>190</v>
      </c>
      <c r="B7" s="62" t="s">
        <v>203</v>
      </c>
      <c r="C7" s="61" t="s">
        <v>294</v>
      </c>
      <c r="D7" s="92" t="s">
        <v>289</v>
      </c>
      <c r="E7" s="61">
        <v>2</v>
      </c>
      <c r="F7" s="66" t="s">
        <v>270</v>
      </c>
      <c r="G7" s="85" t="s">
        <v>269</v>
      </c>
      <c r="H7" s="66" t="s">
        <v>217</v>
      </c>
      <c r="I7" s="29" t="s">
        <v>170</v>
      </c>
      <c r="J7" s="29" t="s">
        <v>170</v>
      </c>
      <c r="K7" s="68" t="s">
        <v>260</v>
      </c>
      <c r="L7" s="68">
        <v>1</v>
      </c>
      <c r="M7" s="68" t="s">
        <v>260</v>
      </c>
      <c r="N7" s="68">
        <v>1</v>
      </c>
      <c r="O7" s="29">
        <v>1</v>
      </c>
      <c r="P7" s="29" t="s">
        <v>204</v>
      </c>
      <c r="Q7" s="29">
        <v>4</v>
      </c>
      <c r="R7" s="29" t="s">
        <v>262</v>
      </c>
    </row>
    <row r="8" spans="1:18" ht="28.8" x14ac:dyDescent="0.3">
      <c r="A8" s="29" t="s">
        <v>190</v>
      </c>
      <c r="B8" s="62" t="s">
        <v>203</v>
      </c>
      <c r="C8" s="61" t="s">
        <v>295</v>
      </c>
      <c r="D8" s="92" t="s">
        <v>290</v>
      </c>
      <c r="E8" s="61">
        <v>3</v>
      </c>
      <c r="F8" s="66" t="s">
        <v>263</v>
      </c>
      <c r="G8" s="85" t="s">
        <v>266</v>
      </c>
      <c r="H8" s="66" t="s">
        <v>217</v>
      </c>
      <c r="I8" s="29" t="s">
        <v>170</v>
      </c>
      <c r="J8" s="29" t="s">
        <v>170</v>
      </c>
      <c r="K8" s="68" t="s">
        <v>260</v>
      </c>
      <c r="L8" s="68">
        <v>1</v>
      </c>
      <c r="M8" s="68" t="s">
        <v>260</v>
      </c>
      <c r="N8" s="68">
        <v>1</v>
      </c>
      <c r="O8" s="29">
        <v>0</v>
      </c>
      <c r="P8" s="29" t="s">
        <v>204</v>
      </c>
      <c r="Q8" s="29">
        <v>3</v>
      </c>
      <c r="R8" s="29" t="s">
        <v>259</v>
      </c>
    </row>
    <row r="9" spans="1:18" x14ac:dyDescent="0.3">
      <c r="A9" s="29" t="s">
        <v>190</v>
      </c>
      <c r="B9" s="62" t="s">
        <v>203</v>
      </c>
      <c r="C9" s="61" t="s">
        <v>296</v>
      </c>
      <c r="D9" s="92" t="s">
        <v>291</v>
      </c>
      <c r="E9" s="61">
        <v>4</v>
      </c>
      <c r="F9" s="66" t="s">
        <v>263</v>
      </c>
      <c r="G9" s="85" t="s">
        <v>266</v>
      </c>
      <c r="H9" s="66" t="s">
        <v>217</v>
      </c>
      <c r="I9" s="29" t="s">
        <v>170</v>
      </c>
      <c r="J9" s="29" t="s">
        <v>170</v>
      </c>
      <c r="K9" s="68" t="s">
        <v>260</v>
      </c>
      <c r="L9" s="68">
        <v>1</v>
      </c>
      <c r="M9" s="68" t="s">
        <v>260</v>
      </c>
      <c r="N9" s="68">
        <v>1</v>
      </c>
      <c r="O9" s="29">
        <v>0</v>
      </c>
      <c r="P9" s="29" t="s">
        <v>204</v>
      </c>
      <c r="Q9" s="29">
        <v>3</v>
      </c>
      <c r="R9" s="29" t="s">
        <v>259</v>
      </c>
    </row>
    <row r="16" spans="1:18" x14ac:dyDescent="0.3">
      <c r="F16" s="87"/>
      <c r="G16" s="88"/>
    </row>
    <row r="17" spans="7:7" x14ac:dyDescent="0.3">
      <c r="G17" s="8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dc7d05db-9a88-43f7-9979-b3027636d98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TaxCatchAll xmlns="33648e8c-5399-4ce0-994e-2f4ddb1c4614">
      <Value>9</Value>
      <Value>2</Value>
    </TaxCatchAll>
    <EnterpriseDocumentLanguageTaxHTField0 xmlns="33648e8c-5399-4ce0-994e-2f4ddb1c4614">
      <Terms xmlns="http://schemas.microsoft.com/office/infopath/2007/PartnerControls">
        <TermInfo xmlns="http://schemas.microsoft.com/office/infopath/2007/PartnerControls">
          <TermName xmlns="http://schemas.microsoft.com/office/infopath/2007/PartnerControls">eng</TermName>
          <TermId xmlns="http://schemas.microsoft.com/office/infopath/2007/PartnerControls">39540796-0396-4e54-afe9-a602f28bbe8f</TermId>
        </TermInfo>
      </Terms>
    </EnterpriseDocumentLanguageTaxHTField0>
    <EnterpriseRecordSeriesCodeTaxHTField0 xmlns="33648e8c-5399-4ce0-994e-2f4ddb1c4614">
      <Terms xmlns="http://schemas.microsoft.com/office/infopath/2007/PartnerControls">
        <TermInfo xmlns="http://schemas.microsoft.com/office/infopath/2007/PartnerControls">
          <TermName xmlns="http://schemas.microsoft.com/office/infopath/2007/PartnerControls">ICO160</TermName>
          <TermId xmlns="http://schemas.microsoft.com/office/infopath/2007/PartnerControls">c3c6d099-f33e-4476-906e-b6b22fd275fa</TermId>
        </TermInfo>
      </Terms>
    </EnterpriseRecordSeriesCodeTaxHTField0>
    <Standard_x0020_Version_x0020_Identifier xmlns="baf6fc07-13f3-4902-8937-8ec7b03f71f1">ADaM - TTE V1.0</Standard_x0020_Version_x0020_Identifier>
    <Provisional_x0020_Use xmlns="baf6fc07-13f3-4902-8937-8ec7b03f71f1">false</Provisional_x0020_Use>
    <Therapeutic_x0020_Area xmlns="cf00a190-d0fc-4b01-ab65-8dc240cc0407">ONC (Oncology)</Therapeutic_x0020_Area>
    <Category xmlns="baf6fc07-13f3-4902-8937-8ec7b03f71f1">ADaM</Category>
    <_Status xmlns="http://schemas.microsoft.com/sharepoint/v3/fields">Approved</_Status>
    <Compound_x0020_Name xmlns="baf6fc07-13f3-4902-8937-8ec7b03f71f1" xsi:nil="true"/>
    <Topic xmlns="baf6fc07-13f3-4902-8937-8ec7b03f71f1">Efficacy</Topic>
    <OwnershipLevel xmlns="baf6fc07-13f3-4902-8937-8ec7b03f71f1">Therapeutic Area</OwnershipLevel>
    <_dlc_DocId xmlns="6423129b-59ca-4b24-bb85-23e2022f43a5">X2KR4FP2XVTT-5-1032</_dlc_DocId>
    <_dlc_DocIdUrl xmlns="6423129b-59ca-4b24-bb85-23e2022f43a5">
      <Url>http://lillynetcollaboration.global.lilly.com/sites/GCDMLibraryManagementTeam/Documents/_layouts/DocIdRedir.aspx?ID=X2KR4FP2XVTT-5-1032</Url>
      <Description>X2KR4FP2XVTT-5-1032</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C6125CBEC4B2C540B98981F13EEDF150" ma:contentTypeVersion="6" ma:contentTypeDescription="Create a new document." ma:contentTypeScope="" ma:versionID="33a711185693b4484063ace2267a9745">
  <xsd:schema xmlns:xsd="http://www.w3.org/2001/XMLSchema" xmlns:xs="http://www.w3.org/2001/XMLSchema" xmlns:p="http://schemas.microsoft.com/office/2006/metadata/properties" xmlns:ns2="33648e8c-5399-4ce0-994e-2f4ddb1c4614" xmlns:ns3="ea8d7ff9-53a1-4d37-b8c7-6ece65a438c0" targetNamespace="http://schemas.microsoft.com/office/2006/metadata/properties" ma:root="true" ma:fieldsID="e3cc954577dd282093b12f382aa3164a" ns2:_="" ns3:_="">
    <xsd:import namespace="33648e8c-5399-4ce0-994e-2f4ddb1c4614"/>
    <xsd:import namespace="ea8d7ff9-53a1-4d37-b8c7-6ece65a438c0"/>
    <xsd:element name="properties">
      <xsd:complexType>
        <xsd:sequence>
          <xsd:element name="documentManagement">
            <xsd:complexType>
              <xsd:all>
                <xsd:element ref="ns2:TaxCatchAll" minOccurs="0"/>
                <xsd:element ref="ns2:TaxCatchAllLabel" minOccurs="0"/>
                <xsd:element ref="ns2:EnterpriseDocumentLanguageTaxHTField0" minOccurs="0"/>
                <xsd:element ref="ns2:EnterpriseRecordSeriesCodeTaxHTField0" minOccurs="0"/>
                <xsd:element ref="ns3:Category" minOccurs="0"/>
                <xsd:element ref="ns3:Draft_x003f_" minOccurs="0"/>
                <xsd:element ref="ns3:Modu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48e8c-5399-4ce0-994e-2f4ddb1c4614" elementFormDefault="qualified">
    <xsd:import namespace="http://schemas.microsoft.com/office/2006/documentManagement/types"/>
    <xsd:import namespace="http://schemas.microsoft.com/office/infopath/2007/PartnerControls"/>
    <xsd:element name="TaxCatchAll" ma:index="7" nillable="true" ma:displayName="Taxonomy Catch All Column" ma:hidden="true" ma:list="{9e2544b8-8d1d-46e8-9928-48fb20a64101}" ma:internalName="TaxCatchAll" ma:showField="CatchAllData" ma:web="98184e42-8508-4a03-b6bc-f984b222826e">
      <xsd:complexType>
        <xsd:complexContent>
          <xsd:extension base="dms:MultiChoiceLookup">
            <xsd:sequence>
              <xsd:element name="Value" type="dms:Lookup" maxOccurs="unbounded" minOccurs="0" nillable="true"/>
            </xsd:sequence>
          </xsd:extension>
        </xsd:complexContent>
      </xsd:complexType>
    </xsd:element>
    <xsd:element name="TaxCatchAllLabel" ma:index="8" nillable="true" ma:displayName="Taxonomy Catch All Column1" ma:hidden="true" ma:list="{9e2544b8-8d1d-46e8-9928-48fb20a64101}" ma:internalName="TaxCatchAllLabel" ma:readOnly="true" ma:showField="CatchAllDataLabel" ma:web="98184e42-8508-4a03-b6bc-f984b222826e">
      <xsd:complexType>
        <xsd:complexContent>
          <xsd:extension base="dms:MultiChoiceLookup">
            <xsd:sequence>
              <xsd:element name="Value" type="dms:Lookup" maxOccurs="unbounded" minOccurs="0" nillable="true"/>
            </xsd:sequence>
          </xsd:extension>
        </xsd:complexContent>
      </xsd:complexType>
    </xsd:element>
    <xsd:element name="EnterpriseDocumentLanguageTaxHTField0" ma:index="9" ma:taxonomy="true" ma:internalName="EnterpriseDocumentLanguageTaxHTField0" ma:taxonomyFieldName="EnterpriseDocumentLanguage" ma:displayName="Lilly Document Language" ma:readOnly="false" ma:default="2;#eng|39540796-0396-4e54-afe9-a602f28bbe8f" ma:fieldId="{93e5a5e9-0ea5-4512-9a61-30e562d954b4}" ma:sspId="dc7d05db-9a88-43f7-9979-b3027636d983" ma:termSetId="29d92dd9-4caf-4659-961a-1591fcb1f2f5" ma:anchorId="00000000-0000-0000-0000-000000000000" ma:open="false" ma:isKeyword="false">
      <xsd:complexType>
        <xsd:sequence>
          <xsd:element ref="pc:Terms" minOccurs="0" maxOccurs="1"/>
        </xsd:sequence>
      </xsd:complexType>
    </xsd:element>
    <xsd:element name="EnterpriseRecordSeriesCodeTaxHTField0" ma:index="11" ma:taxonomy="true" ma:internalName="EnterpriseRecordSeriesCodeTaxHTField0" ma:taxonomyFieldName="EnterpriseRecordSeriesCode" ma:displayName="Lilly Record Series Code" ma:readOnly="false" ma:default="1;#ADM130|70dc3311-3e76-421c-abfa-d108df48853c" ma:fieldId="{23eb9118-512f-4e30-ae67-b759512ccd2b}" ma:sspId="dc7d05db-9a88-43f7-9979-b3027636d983" ma:termSetId="596d0819-e4b3-4e25-8f9b-94317537e497"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a8d7ff9-53a1-4d37-b8c7-6ece65a438c0" elementFormDefault="qualified">
    <xsd:import namespace="http://schemas.microsoft.com/office/2006/documentManagement/types"/>
    <xsd:import namespace="http://schemas.microsoft.com/office/infopath/2007/PartnerControls"/>
    <xsd:element name="Category" ma:index="14" nillable="true" ma:displayName="Category" ma:default="Day 2 Draft Training Content" ma:format="RadioButtons" ma:internalName="Category">
      <xsd:simpleType>
        <xsd:restriction base="dms:Choice">
          <xsd:enumeration value="Day 2 Draft Training Content"/>
          <xsd:enumeration value="Day 2 Final Presentation Content"/>
          <xsd:enumeration value="Day 2 Participants' Content for Exercises"/>
        </xsd:restriction>
      </xsd:simpleType>
    </xsd:element>
    <xsd:element name="Draft_x003f_" ma:index="15" nillable="true" ma:displayName="Draft?" ma:default="1" ma:internalName="Draft_x003f_">
      <xsd:simpleType>
        <xsd:restriction base="dms:Boolean"/>
      </xsd:simpleType>
    </xsd:element>
    <xsd:element name="Module" ma:index="16" nillable="true" ma:displayName="Module" ma:default="Choose a Module..." ma:format="Dropdown" ma:internalName="Module">
      <xsd:simpleType>
        <xsd:restriction base="dms:Choice">
          <xsd:enumeration value="Choose a Module..."/>
          <xsd:enumeration value="Mod 1"/>
          <xsd:enumeration value="Mod 2"/>
          <xsd:enumeration value="Mod 3"/>
          <xsd:enumeration value="Mod 4"/>
          <xsd:enumeration value="Mod 5"/>
          <xsd:enumeration value="Mod 6"/>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documentManagement>
    <TaxCatchAll xmlns="33648e8c-5399-4ce0-994e-2f4ddb1c4614">
      <Value>7</Value>
      <Value>2</Value>
    </TaxCatchAll>
    <EnterpriseDocumentLanguageTaxHTField0 xmlns="33648e8c-5399-4ce0-994e-2f4ddb1c4614">
      <Terms xmlns="http://schemas.microsoft.com/office/infopath/2007/PartnerControls">
        <TermInfo xmlns="http://schemas.microsoft.com/office/infopath/2007/PartnerControls">
          <TermName xmlns="http://schemas.microsoft.com/office/infopath/2007/PartnerControls">eng</TermName>
          <TermId xmlns="http://schemas.microsoft.com/office/infopath/2007/PartnerControls">39540796-0396-4e54-afe9-a602f28bbe8f</TermId>
        </TermInfo>
      </Terms>
    </EnterpriseDocumentLanguageTaxHTField0>
    <EnterpriseRecordSeriesCodeTaxHTField0 xmlns="33648e8c-5399-4ce0-994e-2f4ddb1c4614">
      <Terms xmlns="http://schemas.microsoft.com/office/infopath/2007/PartnerControls">
        <TermInfo xmlns="http://schemas.microsoft.com/office/infopath/2007/PartnerControls">
          <TermName xmlns="http://schemas.microsoft.com/office/infopath/2007/PartnerControls">ICO160</TermName>
          <TermId xmlns="http://schemas.microsoft.com/office/infopath/2007/PartnerControls">c3c6d099-f33e-4476-906e-b6b22fd275fa</TermId>
        </TermInfo>
      </Terms>
    </EnterpriseRecordSeriesCodeTaxHTField0>
    <Category xmlns="ea8d7ff9-53a1-4d37-b8c7-6ece65a438c0">Day 2 Participants' Content for Exercises</Category>
    <Module xmlns="ea8d7ff9-53a1-4d37-b8c7-6ece65a438c0">Mod 5</Module>
    <Draft_x003f_ xmlns="ea8d7ff9-53a1-4d37-b8c7-6ece65a438c0">true</Draft_x003f_>
  </documentManagement>
</p:properties>
</file>

<file path=customXml/itemProps1.xml><?xml version="1.0" encoding="utf-8"?>
<ds:datastoreItem xmlns:ds="http://schemas.openxmlformats.org/officeDocument/2006/customXml" ds:itemID="{497883B0-3A9D-4AE5-AF59-D6CDD5815435}"/>
</file>

<file path=customXml/itemProps2.xml><?xml version="1.0" encoding="utf-8"?>
<ds:datastoreItem xmlns:ds="http://schemas.openxmlformats.org/officeDocument/2006/customXml" ds:itemID="{D27C36E4-C9F2-4B6D-A865-892AA4B4C79C}"/>
</file>

<file path=customXml/itemProps3.xml><?xml version="1.0" encoding="utf-8"?>
<ds:datastoreItem xmlns:ds="http://schemas.openxmlformats.org/officeDocument/2006/customXml" ds:itemID="{A32DDD88-5394-4874-9BDB-062413396524}">
  <ds:schemaRefs>
    <ds:schemaRef ds:uri="http://purl.org/dc/dcmitype/"/>
    <ds:schemaRef ds:uri="http://schemas.microsoft.com/office/2006/documentManagement/types"/>
    <ds:schemaRef ds:uri="http://purl.org/dc/elements/1.1/"/>
    <ds:schemaRef ds:uri="http://schemas.microsoft.com/office/infopath/2007/PartnerControls"/>
    <ds:schemaRef ds:uri="http://purl.org/dc/terms/"/>
    <ds:schemaRef ds:uri="http://schemas.openxmlformats.org/package/2006/metadata/core-properties"/>
    <ds:schemaRef ds:uri="6423129b-59ca-4b24-bb85-23e2022f43a5"/>
    <ds:schemaRef ds:uri="http://schemas.microsoft.com/sharepoint/v3/fields"/>
    <ds:schemaRef ds:uri="cf00a190-d0fc-4b01-ab65-8dc240cc0407"/>
    <ds:schemaRef ds:uri="baf6fc07-13f3-4902-8937-8ec7b03f71f1"/>
    <ds:schemaRef ds:uri="33648e8c-5399-4ce0-994e-2f4ddb1c4614"/>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BADE4ACB-46E3-4EC6-A918-4CB4CCE66FE3}"/>
</file>

<file path=customXml/itemProps5.xml><?xml version="1.0" encoding="utf-8"?>
<ds:datastoreItem xmlns:ds="http://schemas.openxmlformats.org/officeDocument/2006/customXml" ds:itemID="{A32DDD88-5394-4874-9BDB-0624133965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Process options</vt:lpstr>
      <vt:lpstr>TLFs</vt:lpstr>
      <vt:lpstr>VERSION</vt:lpstr>
      <vt:lpstr>TABLES</vt:lpstr>
      <vt:lpstr>COLUMNS</vt:lpstr>
      <vt:lpstr>EXAMPLE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Oncology ADaM TTE Efficacy Analysis Data Set Standard</dc:title>
  <dc:creator>Mike Molter</dc:creator>
  <cp:lastModifiedBy>Shelley Dunn</cp:lastModifiedBy>
  <dcterms:created xsi:type="dcterms:W3CDTF">2011-03-22T16:33:55Z</dcterms:created>
  <dcterms:modified xsi:type="dcterms:W3CDTF">2015-10-07T01:53:04Z</dcterms:modified>
  <cp:contentStatus>Approved</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0x010100C6125CBEC4B2C540B98981F13EEDF150</vt:lpwstr>
  </property>
  <property fmtid="{D5CDD505-2E9C-101B-9397-08002B2CF9AE}" pid="3" name="EnterpriseDocumentLanguage">
    <vt:lpwstr>2;#eng|39540796-0396-4e54-afe9-a602f28bbe8f</vt:lpwstr>
  </property>
  <property fmtid="{D5CDD505-2E9C-101B-9397-08002B2CF9AE}" pid="4" name="EnterpriseRecordSeriesCode">
    <vt:lpwstr>7;#ICO160|c3c6d099-f33e-4476-906e-b6b22fd275fa</vt:lpwstr>
  </property>
  <property fmtid="{D5CDD505-2E9C-101B-9397-08002B2CF9AE}" pid="5" name="EnterpriseSensitivityClassification">
    <vt:lpwstr>3;#GREEN|ec74153f-63be-46a4-ae5f-1b86c809897d</vt:lpwstr>
  </property>
  <property fmtid="{D5CDD505-2E9C-101B-9397-08002B2CF9AE}" pid="6" name="Order">
    <vt:r8>147500</vt:r8>
  </property>
  <property fmtid="{D5CDD505-2E9C-101B-9397-08002B2CF9AE}" pid="7" name="Document Type">
    <vt:lpwstr>Template</vt:lpwstr>
  </property>
  <property fmtid="{D5CDD505-2E9C-101B-9397-08002B2CF9AE}" pid="8" name="ReviewState">
    <vt:lpwstr>Development</vt:lpwstr>
  </property>
  <property fmtid="{D5CDD505-2E9C-101B-9397-08002B2CF9AE}" pid="9" name="_dlc_DocIdItemGuid">
    <vt:lpwstr>587e469d-1c23-401f-a811-185ef6013757</vt:lpwstr>
  </property>
  <property fmtid="{D5CDD505-2E9C-101B-9397-08002B2CF9AE}" pid="10" name="EnterpriseSensitivityClassificationTaxHTField0">
    <vt:lpwstr>GREEN|ec74153f-63be-46a4-ae5f-1b86c809897d</vt:lpwstr>
  </property>
</Properties>
</file>